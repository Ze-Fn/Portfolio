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https://d.docs.live.net/d9fa0445d99ba1a7/Documents/__Learning/Portfolio/Data Analysis/Alumni Tracer CS JHS/Excel/"/>
    </mc:Choice>
  </mc:AlternateContent>
  <xr:revisionPtr revIDLastSave="1" documentId="13_ncr:40009_{147E5ACC-3127-4FED-8D94-7C3D7E93F375}" xr6:coauthVersionLast="47" xr6:coauthVersionMax="47" xr10:uidLastSave="{39408156-D462-4BF9-B74F-EFE1AAEFE361}"/>
  <bookViews>
    <workbookView xWindow="24435" yWindow="1830" windowWidth="26295" windowHeight="18630" activeTab="5" xr2:uid="{00000000-000D-0000-FFFF-FFFF00000000}"/>
  </bookViews>
  <sheets>
    <sheet name="raw" sheetId="1" r:id="rId1"/>
    <sheet name="checks" sheetId="2" r:id="rId2"/>
    <sheet name="cleaning" sheetId="3" r:id="rId3"/>
    <sheet name="cleaned" sheetId="4" r:id="rId4"/>
    <sheet name="pivot_table" sheetId="5" r:id="rId5"/>
    <sheet name="dashboard" sheetId="6" r:id="rId6"/>
  </sheets>
  <definedNames>
    <definedName name="_xlnm._FilterDatabase" localSheetId="1" hidden="1">checks!$A$1:$F$122</definedName>
    <definedName name="_xlnm._FilterDatabase" localSheetId="3" hidden="1">cleaned!$A$1:$F$122</definedName>
    <definedName name="_xlnm._FilterDatabase" localSheetId="2" hidden="1">cleaning!$A$1:$G$122</definedName>
    <definedName name="_xlcn.WorksheetConnection_cleanedA1F1221" hidden="1">cleaned!$A$1:$F$122</definedName>
    <definedName name="Slicer_Fakultas">#N/A</definedName>
    <definedName name="Slicer_Jenis_Kelamin">#N/A</definedName>
    <definedName name="Slicer_Lanjut_ke_Sekolah_Menengah_...">#N/A</definedName>
    <definedName name="Slicer_Lulus_dari_SPENSANA__...">#N/A</definedName>
  </definedNames>
  <calcPr calcId="191029"/>
  <pivotCaches>
    <pivotCache cacheId="0" r:id="rId7"/>
    <pivotCache cacheId="1" r:id="rId8"/>
    <pivotCache cacheId="2" r:id="rId9"/>
    <pivotCache cacheId="3" r:id="rId10"/>
  </pivotCaches>
  <extLst>
    <ext xmlns:x14="http://schemas.microsoft.com/office/spreadsheetml/2009/9/main" uri="{876F7934-8845-4945-9796-88D515C7AA90}">
      <x14:pivotCaches>
        <pivotCache cacheId="4" r:id="rId11"/>
      </x14:pivotCaches>
    </ex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cleaned!$A$1:$F$12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 i="3" l="1"/>
  <c r="F4" i="3"/>
  <c r="F5" i="3"/>
  <c r="F6" i="3"/>
  <c r="F7" i="3"/>
  <c r="F8" i="3"/>
  <c r="F9" i="3"/>
  <c r="F10" i="3"/>
  <c r="F11" i="3"/>
  <c r="F13" i="3"/>
  <c r="F15" i="3"/>
  <c r="F16" i="3"/>
  <c r="F17" i="3"/>
  <c r="F18" i="3"/>
  <c r="F19" i="3"/>
  <c r="F20" i="3"/>
  <c r="F21" i="3"/>
  <c r="F22" i="3"/>
  <c r="F23" i="3"/>
  <c r="F25" i="3"/>
  <c r="F26" i="3"/>
  <c r="F27" i="3"/>
  <c r="F28" i="3"/>
  <c r="F29" i="3"/>
  <c r="F31" i="3"/>
  <c r="F32" i="3"/>
  <c r="F34" i="3"/>
  <c r="F35" i="3"/>
  <c r="F36" i="3"/>
  <c r="F37" i="3"/>
  <c r="F38" i="3"/>
  <c r="F39" i="3"/>
  <c r="F43" i="3"/>
  <c r="F44" i="3"/>
  <c r="F47" i="3"/>
  <c r="F48" i="3"/>
  <c r="F49" i="3"/>
  <c r="F50" i="3"/>
  <c r="F51" i="3"/>
  <c r="F53" i="3"/>
  <c r="F54" i="3"/>
  <c r="F55" i="3"/>
  <c r="F57" i="3"/>
  <c r="F58" i="3"/>
  <c r="F59" i="3"/>
  <c r="F68" i="3"/>
  <c r="F70" i="3"/>
  <c r="F71" i="3"/>
  <c r="F72" i="3"/>
  <c r="F74" i="3"/>
  <c r="F76" i="3"/>
  <c r="F77" i="3"/>
  <c r="F80" i="3"/>
  <c r="F83" i="3"/>
  <c r="F86" i="3"/>
  <c r="F88" i="3"/>
  <c r="F90" i="3"/>
  <c r="F92" i="3"/>
  <c r="F93" i="3"/>
  <c r="F94" i="3"/>
  <c r="F95" i="3"/>
  <c r="F98" i="3"/>
  <c r="F99" i="3"/>
  <c r="F100" i="3"/>
  <c r="F101" i="3"/>
  <c r="F102" i="3"/>
  <c r="F104" i="3"/>
  <c r="F105" i="3"/>
  <c r="F106" i="3"/>
  <c r="F108" i="3"/>
  <c r="F109" i="3"/>
  <c r="F110" i="3"/>
  <c r="F113" i="3"/>
  <c r="F115" i="3"/>
  <c r="F117" i="3"/>
  <c r="F118" i="3"/>
  <c r="H33" i="2" a="1"/>
  <c r="H33" i="2" s="1"/>
  <c r="H8" i="2" a="1"/>
  <c r="H8" i="2" s="1"/>
  <c r="H25" i="2" a="1"/>
  <c r="H25" i="2" s="1"/>
  <c r="H4" i="2" a="1"/>
  <c r="H4"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cleaned!$A$1:$F$122" type="102" refreshedVersion="7" minRefreshableVersion="5">
    <extLst>
      <ext xmlns:x15="http://schemas.microsoft.com/office/spreadsheetml/2010/11/main" uri="{DE250136-89BD-433C-8126-D09CA5730AF9}">
        <x15:connection id="Range" autoDelete="1">
          <x15:rangePr sourceName="_xlcn.WorksheetConnection_cleanedA1F122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<sst xmlns="http://schemas.openxmlformats.org/spreadsheetml/2006/main" count="2638" uniqueCount="384">
  <si>
    <t>Timestamp</t>
  </si>
  <si>
    <t>Nama Lengkap</t>
  </si>
  <si>
    <t>Jenis Kelamin</t>
  </si>
  <si>
    <t>Lulus dari SPENSANA  ...</t>
  </si>
  <si>
    <t>Lanjut ke Sekolah Menengah ...</t>
  </si>
  <si>
    <t>Jurusan ...</t>
  </si>
  <si>
    <t>8/25/2025 9:45:19</t>
  </si>
  <si>
    <t>Siswa 1</t>
  </si>
  <si>
    <t>Laki-laki</t>
  </si>
  <si>
    <t>SMK</t>
  </si>
  <si>
    <t>Agribisnis Tanaman Pangan Dan Hortikultura (ATPH)</t>
  </si>
  <si>
    <t>8/25/2025 9:51:54</t>
  </si>
  <si>
    <t>Siswa 2</t>
  </si>
  <si>
    <t>2024-2025</t>
  </si>
  <si>
    <t>SMA</t>
  </si>
  <si>
    <t>IPS</t>
  </si>
  <si>
    <t>8/25/2025 9:57:09</t>
  </si>
  <si>
    <t>Siswa 3</t>
  </si>
  <si>
    <t>Teknik Otomasi Industri</t>
  </si>
  <si>
    <t>8/25/2025 10:05:45</t>
  </si>
  <si>
    <t>Siswa 4</t>
  </si>
  <si>
    <t>Teknik kendaraan ringan</t>
  </si>
  <si>
    <t>8/25/2025 10:08:43</t>
  </si>
  <si>
    <t>Siswa 5</t>
  </si>
  <si>
    <t>Perempuan</t>
  </si>
  <si>
    <t>USAHA LAYANAN PARIWISATA</t>
  </si>
  <si>
    <t>8/25/2025 10:27:15</t>
  </si>
  <si>
    <t>Siswa 6</t>
  </si>
  <si>
    <t>AKUNTANSI</t>
  </si>
  <si>
    <t>8/25/2025 10:31:44</t>
  </si>
  <si>
    <t>Siswa 7</t>
  </si>
  <si>
    <t>Pengembangan Perangkat Lunak dan Gim</t>
  </si>
  <si>
    <t>8/25/2025 10:34:20</t>
  </si>
  <si>
    <t>Siswa 8</t>
  </si>
  <si>
    <t>desain permodelan dan informasi bangunan</t>
  </si>
  <si>
    <t>8/25/2025 10:34:36</t>
  </si>
  <si>
    <t>Siswa 9</t>
  </si>
  <si>
    <t>Desain Pemodelan dan Informasi Bangunan</t>
  </si>
  <si>
    <t>8/25/2025 10:35:28</t>
  </si>
  <si>
    <t>Siswa 10</t>
  </si>
  <si>
    <t>Teknik Audio Video</t>
  </si>
  <si>
    <t>8/25/2025 10:37:59</t>
  </si>
  <si>
    <t>Siswa 11</t>
  </si>
  <si>
    <t>ips</t>
  </si>
  <si>
    <t>8/25/2025 10:40:50</t>
  </si>
  <si>
    <t>Siswa 12</t>
  </si>
  <si>
    <t>Teknik Komputer Jaringan</t>
  </si>
  <si>
    <t>8/25/2025 10:56:48</t>
  </si>
  <si>
    <t>Siswa 13</t>
  </si>
  <si>
    <t>IPA</t>
  </si>
  <si>
    <t>8/25/2025 10:58:43</t>
  </si>
  <si>
    <t>Siswa 14</t>
  </si>
  <si>
    <t>Desain Komunikasi Visual</t>
  </si>
  <si>
    <t>8/25/2025 10:58:58</t>
  </si>
  <si>
    <t>Siswa 15</t>
  </si>
  <si>
    <t>Teknik Ketenagalistrikan/Teknik instalasi Tenaga Listrik (TITL)</t>
  </si>
  <si>
    <t>8/25/2025 10:59:47</t>
  </si>
  <si>
    <t>Siswa 16</t>
  </si>
  <si>
    <t>8/25/2025 11:02:09</t>
  </si>
  <si>
    <t>Siswa 17</t>
  </si>
  <si>
    <t>TSM (TEKNIK SEPEDA MOTOR)</t>
  </si>
  <si>
    <t>8/25/2025 11:02:32</t>
  </si>
  <si>
    <t>Siswa 18</t>
  </si>
  <si>
    <t>Teknik Kontruksi Dan Perumahan</t>
  </si>
  <si>
    <t>8/25/2025 11:05:55</t>
  </si>
  <si>
    <t>Siswa 19</t>
  </si>
  <si>
    <t>TKP (tehnik konstruksi dan perumahan)</t>
  </si>
  <si>
    <t>8/25/2025 11:28:24</t>
  </si>
  <si>
    <t>Siswa 20</t>
  </si>
  <si>
    <t>Akuntansi keuangan dan lembaga</t>
  </si>
  <si>
    <t>8/25/2025 11:50:25</t>
  </si>
  <si>
    <t>Siswa 21</t>
  </si>
  <si>
    <t>teknik otomotif</t>
  </si>
  <si>
    <t>8/25/2025 12:16:05</t>
  </si>
  <si>
    <t>Siswa 22</t>
  </si>
  <si>
    <t>tkj (teknik komputer dan jaringan)</t>
  </si>
  <si>
    <t>8/25/2025 12:39:04</t>
  </si>
  <si>
    <t>Siswa 23</t>
  </si>
  <si>
    <t>8/25/2025 12:42:29</t>
  </si>
  <si>
    <t>Siswa 24</t>
  </si>
  <si>
    <t>SMK: Teknik kendaraan Ringan</t>
  </si>
  <si>
    <t>8/25/2025 12:45:41</t>
  </si>
  <si>
    <t>Siswa 25</t>
  </si>
  <si>
    <t>teknik audio video</t>
  </si>
  <si>
    <t>8/25/2025 12:51:50</t>
  </si>
  <si>
    <t>Siswa 26</t>
  </si>
  <si>
    <t>jurusan TSM</t>
  </si>
  <si>
    <t>8/25/2025 12:54:50</t>
  </si>
  <si>
    <t>Siswa 27</t>
  </si>
  <si>
    <t>jurusan teknik permesinan</t>
  </si>
  <si>
    <t>8/25/2025 12:56:59</t>
  </si>
  <si>
    <t>Siswa 28</t>
  </si>
  <si>
    <t>JURUSAN PEMESINAN (TPM)</t>
  </si>
  <si>
    <t>8/25/2025 12:58:24</t>
  </si>
  <si>
    <t>Siswa 29</t>
  </si>
  <si>
    <t>8/25/2025 13:02:59</t>
  </si>
  <si>
    <t>Siswa 30</t>
  </si>
  <si>
    <t>Teknik Audio Vidio</t>
  </si>
  <si>
    <t>8/25/2025 13:15:06</t>
  </si>
  <si>
    <t>Siswa 31</t>
  </si>
  <si>
    <t>Teknik Sepeda Motor</t>
  </si>
  <si>
    <t>8/25/2025 13:15:29</t>
  </si>
  <si>
    <t>Siswa 32</t>
  </si>
  <si>
    <t>SMAN 1 JALAKSANA</t>
  </si>
  <si>
    <t>8/25/2025 13:15:53</t>
  </si>
  <si>
    <t>Siswa 33</t>
  </si>
  <si>
    <t>teknik permesinan smk karya nasional</t>
  </si>
  <si>
    <t>8/25/2025 13:16:43</t>
  </si>
  <si>
    <t>Siswa 34</t>
  </si>
  <si>
    <t>8/25/2025 13:18:32</t>
  </si>
  <si>
    <t>Siswa 35</t>
  </si>
  <si>
    <t>8/25/2025 13:20:14</t>
  </si>
  <si>
    <t>Siswa 36</t>
  </si>
  <si>
    <t>TEKNIK KENDARAAN RINGAN</t>
  </si>
  <si>
    <t>8/25/2025 13:28:45</t>
  </si>
  <si>
    <t>Siswa 37</t>
  </si>
  <si>
    <t>TBSM</t>
  </si>
  <si>
    <t>8/25/2025 13:29:43</t>
  </si>
  <si>
    <t>Siswa 38</t>
  </si>
  <si>
    <t>DESAIN KOMUNIKASI VISUAL</t>
  </si>
  <si>
    <t>8/25/2025 13:33:48</t>
  </si>
  <si>
    <t>Siswa 39</t>
  </si>
  <si>
    <t>8/25/2025 13:44:05</t>
  </si>
  <si>
    <t>Siswa 40</t>
  </si>
  <si>
    <t>8/25/2025 13:47:22</t>
  </si>
  <si>
    <t>Siswa 41</t>
  </si>
  <si>
    <t>Tahun 2025</t>
  </si>
  <si>
    <t>SMA: IPA</t>
  </si>
  <si>
    <t>8/25/2025 14:01:25</t>
  </si>
  <si>
    <t>Siswa 42</t>
  </si>
  <si>
    <t>jurusan keperawatan</t>
  </si>
  <si>
    <t>8/25/2025 14:02:37</t>
  </si>
  <si>
    <t>Siswa 43</t>
  </si>
  <si>
    <t>SMK (kefarmasian)</t>
  </si>
  <si>
    <t>8/25/2025 14:18:01</t>
  </si>
  <si>
    <t>Siswa 44</t>
  </si>
  <si>
    <t>8/25/2025 14:27:58</t>
  </si>
  <si>
    <t>Siswa 45</t>
  </si>
  <si>
    <t>8/25/2025 14:36:04</t>
  </si>
  <si>
    <t>Siswa 46</t>
  </si>
  <si>
    <t>Teknik sepeda motor</t>
  </si>
  <si>
    <t>8/25/2025 14:51:14</t>
  </si>
  <si>
    <t>Siswa 47</t>
  </si>
  <si>
    <t>agribisnis perikanan air tawar</t>
  </si>
  <si>
    <t>8/25/2025 14:57:38</t>
  </si>
  <si>
    <t>Siswa 48</t>
  </si>
  <si>
    <t>Keperawatan</t>
  </si>
  <si>
    <t>8/25/2025 14:59:52</t>
  </si>
  <si>
    <t>Siswa 49</t>
  </si>
  <si>
    <t>Rekayasa perangkat lunak</t>
  </si>
  <si>
    <t>8/25/2025 15:27:50</t>
  </si>
  <si>
    <t>Siswa 50</t>
  </si>
  <si>
    <t>layanan perbankan</t>
  </si>
  <si>
    <t>8/25/2025 15:34:26</t>
  </si>
  <si>
    <t>Siswa 51</t>
  </si>
  <si>
    <t>8/25/2025 15:48:30</t>
  </si>
  <si>
    <t>Siswa 52</t>
  </si>
  <si>
    <t>perhotelan</t>
  </si>
  <si>
    <t>8/25/2025 15:52:49</t>
  </si>
  <si>
    <t>Siswa 53</t>
  </si>
  <si>
    <t>8/25/2025 15:55:23</t>
  </si>
  <si>
    <t>Siswa 54</t>
  </si>
  <si>
    <t>Desain Permodelan dan Informasi Bangunan</t>
  </si>
  <si>
    <t>8/25/2025 16:05:36</t>
  </si>
  <si>
    <t>Siswa 55</t>
  </si>
  <si>
    <t>SMAN 1 CILIMUS = jurusan peminatan Matematika Tingkat Lanjut,Biologi,Ekonomi</t>
  </si>
  <si>
    <t>8/25/2025 16:13:54</t>
  </si>
  <si>
    <t>Siswa 56</t>
  </si>
  <si>
    <t>2023/2024</t>
  </si>
  <si>
    <t>akuntansi</t>
  </si>
  <si>
    <t>8/25/2025 16:27:55</t>
  </si>
  <si>
    <t>Siswa 57</t>
  </si>
  <si>
    <t>Teknik Komputar Jaringan</t>
  </si>
  <si>
    <t>8/25/2025 16:48:44</t>
  </si>
  <si>
    <t>Siswa 58</t>
  </si>
  <si>
    <t>TEKNIK SEPEDA MOTOR</t>
  </si>
  <si>
    <t>8/25/2025 16:49:41</t>
  </si>
  <si>
    <t>Siswa 59</t>
  </si>
  <si>
    <t>8/25/2025 16:59:28</t>
  </si>
  <si>
    <t>Siswa 60</t>
  </si>
  <si>
    <t>8/25/2025 17:56:48</t>
  </si>
  <si>
    <t>Siswa 61</t>
  </si>
  <si>
    <t>8/25/2025 18:04:46</t>
  </si>
  <si>
    <t>Siswa 62</t>
  </si>
  <si>
    <t>12 Juni 2025</t>
  </si>
  <si>
    <t>Ips</t>
  </si>
  <si>
    <t>8/25/2025 18:09:20</t>
  </si>
  <si>
    <t>Siswa 63</t>
  </si>
  <si>
    <t>SMA, IPA</t>
  </si>
  <si>
    <t>8/25/2025 18:13:00</t>
  </si>
  <si>
    <t>Siswa 64</t>
  </si>
  <si>
    <t>8/25/2025 19:09:36</t>
  </si>
  <si>
    <t>Siswa 65</t>
  </si>
  <si>
    <t>8/25/2025 19:09:54</t>
  </si>
  <si>
    <t>Siswa 66</t>
  </si>
  <si>
    <t>thn 2025</t>
  </si>
  <si>
    <t>SMA:IPA</t>
  </si>
  <si>
    <t>8/25/2025 19:11:33</t>
  </si>
  <si>
    <t>Siswa 67</t>
  </si>
  <si>
    <t>Teknik Komputer dan Jaringan (TKJ)</t>
  </si>
  <si>
    <t>8/25/2025 19:11:42</t>
  </si>
  <si>
    <t>Siswa 68</t>
  </si>
  <si>
    <t>8/25/2025 19:22:05</t>
  </si>
  <si>
    <t>Siswa 69</t>
  </si>
  <si>
    <t>Teknik komputer dan jaringan</t>
  </si>
  <si>
    <t>8/25/2025 19:24:31</t>
  </si>
  <si>
    <t>Siswa 70</t>
  </si>
  <si>
    <t>SMKN 1 KUNINGAN : Desain komunikasi visual (DKV</t>
  </si>
  <si>
    <t>8/25/2025 20:03:06</t>
  </si>
  <si>
    <t>Siswa 71</t>
  </si>
  <si>
    <t>8/25/2025 20:07:20</t>
  </si>
  <si>
    <t>Siswa 72</t>
  </si>
  <si>
    <t>8/25/2025 20:18:40</t>
  </si>
  <si>
    <t>Siswa 73</t>
  </si>
  <si>
    <t>8/25/2025 20:18:46</t>
  </si>
  <si>
    <t>Siswa 74</t>
  </si>
  <si>
    <t>8/25/2025 20:18:48</t>
  </si>
  <si>
    <t>Siswa 75</t>
  </si>
  <si>
    <t>8/25/2025 20:19:57</t>
  </si>
  <si>
    <t>Siswa 76</t>
  </si>
  <si>
    <t>akuntansi dan keuangan lembaga</t>
  </si>
  <si>
    <t>8/25/2025 20:20:22</t>
  </si>
  <si>
    <t>Siswa 77</t>
  </si>
  <si>
    <t>8/25/2025 20:21:59</t>
  </si>
  <si>
    <t>Siswa 78</t>
  </si>
  <si>
    <t>8/25/2025 20:22:37</t>
  </si>
  <si>
    <t>Siswa 79</t>
  </si>
  <si>
    <t>Tata boga</t>
  </si>
  <si>
    <t>8/25/2025 20:23:13</t>
  </si>
  <si>
    <t>Siswa 80</t>
  </si>
  <si>
    <t>cth:2024</t>
  </si>
  <si>
    <t>8/25/2025 20:27:06</t>
  </si>
  <si>
    <t>Siswa 81</t>
  </si>
  <si>
    <t>8/25/2025 20:28:01</t>
  </si>
  <si>
    <t>Siswa 82</t>
  </si>
  <si>
    <t>8/25/2025 20:28:28</t>
  </si>
  <si>
    <t>Siswa 83</t>
  </si>
  <si>
    <t>8/25/2025 20:29:23</t>
  </si>
  <si>
    <t>Siswa 84</t>
  </si>
  <si>
    <t>8/25/2025 20:29:24</t>
  </si>
  <si>
    <t>Siswa 85</t>
  </si>
  <si>
    <t>Desain komunikasi Visual</t>
  </si>
  <si>
    <t>8/25/2025 20:29:48</t>
  </si>
  <si>
    <t>Siswa 86</t>
  </si>
  <si>
    <t>8/25/2025 20:48:57</t>
  </si>
  <si>
    <t>Siswa 87</t>
  </si>
  <si>
    <t>8/25/2025 20:51:05</t>
  </si>
  <si>
    <t>Siswa 88</t>
  </si>
  <si>
    <t>8/25/2025 20:56:53</t>
  </si>
  <si>
    <t>Siswa 89</t>
  </si>
  <si>
    <t>teknik sepedah motor</t>
  </si>
  <si>
    <t>8/25/2025 20:57:11</t>
  </si>
  <si>
    <t>Siswa 90</t>
  </si>
  <si>
    <t>8/25/2025 20:58:46</t>
  </si>
  <si>
    <t>Siswa 91</t>
  </si>
  <si>
    <t>8/25/2025 20:59:04</t>
  </si>
  <si>
    <t>Siswa 92</t>
  </si>
  <si>
    <t>8/25/2025 21:00:57</t>
  </si>
  <si>
    <t>Siswa 93</t>
  </si>
  <si>
    <t>Farmasi</t>
  </si>
  <si>
    <t>8/25/2025 21:06:06</t>
  </si>
  <si>
    <t>Siswa 94</t>
  </si>
  <si>
    <t>Teknik pemesinan</t>
  </si>
  <si>
    <t>8/25/2025 21:20:14</t>
  </si>
  <si>
    <t>Siswa 95</t>
  </si>
  <si>
    <t>8/25/2025 21:20:29</t>
  </si>
  <si>
    <t>Siswa 96</t>
  </si>
  <si>
    <t>8/25/2025 21:25:52</t>
  </si>
  <si>
    <t>Siswa 97</t>
  </si>
  <si>
    <t>8/25/2025 21:33:43</t>
  </si>
  <si>
    <t>Siswa 98</t>
  </si>
  <si>
    <t>teknik kendaraan ringgan</t>
  </si>
  <si>
    <t>8/25/2025 21:46:08</t>
  </si>
  <si>
    <t>Siswa 99</t>
  </si>
  <si>
    <t>REKAYASA PERANGKAT LUNAK</t>
  </si>
  <si>
    <t>8/25/2025 21:53:08</t>
  </si>
  <si>
    <t>Siswa 100</t>
  </si>
  <si>
    <t>8/25/2025 21:59:20</t>
  </si>
  <si>
    <t>Siswa 101</t>
  </si>
  <si>
    <t>Teknik Instalasi Tenaga Listrik</t>
  </si>
  <si>
    <t>8/25/2025 22:13:48</t>
  </si>
  <si>
    <t>Siswa 102</t>
  </si>
  <si>
    <t>8/25/2025 23:04:48</t>
  </si>
  <si>
    <t>Siswa 103</t>
  </si>
  <si>
    <t>Jurusan pemasaran</t>
  </si>
  <si>
    <t>8/26/2025 6:27:31</t>
  </si>
  <si>
    <t>Siswa 104</t>
  </si>
  <si>
    <t>Kelas khusus Axioo class program</t>
  </si>
  <si>
    <t>8/26/2025 6:59:38</t>
  </si>
  <si>
    <t>Siswa 105</t>
  </si>
  <si>
    <t>Akuntansi dan Keuangan Lembaga</t>
  </si>
  <si>
    <t>8/26/2025 8:27:19</t>
  </si>
  <si>
    <t>Siswa 106</t>
  </si>
  <si>
    <t>8/26/2025 9:02:42</t>
  </si>
  <si>
    <t>Siswa 107</t>
  </si>
  <si>
    <t>tahun 2024</t>
  </si>
  <si>
    <t>SMKN 3 KUNINGAN : TEKNIK OTAMASI INDUSTRI</t>
  </si>
  <si>
    <t>8/26/2025 9:53:04</t>
  </si>
  <si>
    <t>Siswa 108</t>
  </si>
  <si>
    <t>Pemasaran</t>
  </si>
  <si>
    <t>8/26/2025 9:54:20</t>
  </si>
  <si>
    <t>Siswa 109</t>
  </si>
  <si>
    <t>PEMASARAN / BISNIS RITEL</t>
  </si>
  <si>
    <t>8/26/2025 11:04:12</t>
  </si>
  <si>
    <t>Siswa 110</t>
  </si>
  <si>
    <t>8/26/2025 17:32:10</t>
  </si>
  <si>
    <t>Siswa 111</t>
  </si>
  <si>
    <t>8/26/2025 18:04:46</t>
  </si>
  <si>
    <t>Siswa 112</t>
  </si>
  <si>
    <t>Teknik Ketenagalistrikan</t>
  </si>
  <si>
    <t>8/26/2025 18:21:24</t>
  </si>
  <si>
    <t>Siswa 113</t>
  </si>
  <si>
    <t>8/26/2025 19:09:35</t>
  </si>
  <si>
    <t>Siswa 114</t>
  </si>
  <si>
    <t>tjk</t>
  </si>
  <si>
    <t>8/26/2025 19:20:51</t>
  </si>
  <si>
    <t>Siswa 115</t>
  </si>
  <si>
    <t>8/26/2025 19:40:10</t>
  </si>
  <si>
    <t>Siswa 116</t>
  </si>
  <si>
    <t>SMK N 3 KUNINGAN (TOI)</t>
  </si>
  <si>
    <t>8/26/2025 22:57:26</t>
  </si>
  <si>
    <t>Siswa 117</t>
  </si>
  <si>
    <t>8/27/2025 21:11:29</t>
  </si>
  <si>
    <t>Siswa 118</t>
  </si>
  <si>
    <t>8/30/2025 9:32:55</t>
  </si>
  <si>
    <t>Siswa 119</t>
  </si>
  <si>
    <t>8/30/2025 9:42:34</t>
  </si>
  <si>
    <t>Siswa 120</t>
  </si>
  <si>
    <t>8/30/2025 10:03:38</t>
  </si>
  <si>
    <t>Siswa 121</t>
  </si>
  <si>
    <t>1. Nama Lengkap</t>
  </si>
  <si>
    <t>2. Lulus dari SPENSANA</t>
  </si>
  <si>
    <t>Checks for dupl row on primary key (Nama Lengkap)</t>
  </si>
  <si>
    <t>3. Lanjut ke Sekolah Menengah ...</t>
  </si>
  <si>
    <t>`=UNIQUE(D:D;FALSE;FALSE)</t>
  </si>
  <si>
    <t>`=UNIQUE(B:B;FALSE;FALSE)</t>
  </si>
  <si>
    <t>`=UNIQUE(E:E;FALSE;FALSE)</t>
  </si>
  <si>
    <t>4. Jurusan …</t>
  </si>
  <si>
    <t>`=UNIQUE(F:F;FALSE;FALSE)</t>
  </si>
  <si>
    <t>PROPER(Jurusan …)</t>
  </si>
  <si>
    <t>Teknik Kendaraan Ringan</t>
  </si>
  <si>
    <t>Usaha Layanan Pariwisata</t>
  </si>
  <si>
    <t>Akuntansi</t>
  </si>
  <si>
    <t>Teknik Otomotif</t>
  </si>
  <si>
    <t>Agribisnis Perikanan Air Tawar</t>
  </si>
  <si>
    <t>Rekayasa Perangkat Lunak</t>
  </si>
  <si>
    <t>Layanan Perbankan</t>
  </si>
  <si>
    <t>Perhotelan</t>
  </si>
  <si>
    <t>Tata Boga</t>
  </si>
  <si>
    <t>Teknik Pemesinan</t>
  </si>
  <si>
    <t>Temp PROPER(Jurusan …)</t>
  </si>
  <si>
    <t>Teknik Komputer dan Jaringan</t>
  </si>
  <si>
    <t>Teknik Konstruksi dan Perumahan</t>
  </si>
  <si>
    <t>Teknik Bisnis Sepeda Motor</t>
  </si>
  <si>
    <t>Agribisnis Tanaman Pangan dan Hortikultura (Atph)</t>
  </si>
  <si>
    <t>Fakultas</t>
  </si>
  <si>
    <t>Komputer</t>
  </si>
  <si>
    <t>Agrokultur</t>
  </si>
  <si>
    <t>Ekonomi</t>
  </si>
  <si>
    <t>Arsitektur</t>
  </si>
  <si>
    <t>Kesehatan</t>
  </si>
  <si>
    <t>Pariwisata</t>
  </si>
  <si>
    <t>Elektro</t>
  </si>
  <si>
    <t>Otomotif</t>
  </si>
  <si>
    <t>MIPA</t>
  </si>
  <si>
    <t>Soshum</t>
  </si>
  <si>
    <t>Mesin</t>
  </si>
  <si>
    <t>Jurusan …</t>
  </si>
  <si>
    <t>Row Labels</t>
  </si>
  <si>
    <t>Grand Total</t>
  </si>
  <si>
    <t>Count of Lanjut ke Sekolah Menengah ...</t>
  </si>
  <si>
    <t>Count of Jurusan …</t>
  </si>
  <si>
    <t>Count of Fakultas</t>
  </si>
  <si>
    <t>Alumni Tracer Dashboard</t>
  </si>
  <si>
    <t>Controls</t>
  </si>
  <si>
    <t>Agribisnis Tanaman Pangan dan Hortikultura</t>
  </si>
  <si>
    <t>Data Collection</t>
  </si>
  <si>
    <r>
      <rPr>
        <b/>
        <sz val="12"/>
        <color rgb="FF002060"/>
        <rFont val="Montserrat"/>
      </rPr>
      <t xml:space="preserve">: </t>
    </r>
    <r>
      <rPr>
        <sz val="12"/>
        <color rgb="FF002060"/>
        <rFont val="Montserrat"/>
      </rPr>
      <t>Online Survey (GForms)</t>
    </r>
  </si>
  <si>
    <t>Respondents</t>
  </si>
  <si>
    <t>Data Analysis</t>
  </si>
  <si>
    <r>
      <rPr>
        <b/>
        <sz val="12"/>
        <color rgb="FF002060"/>
        <rFont val="Montserrat"/>
      </rPr>
      <t xml:space="preserve">: </t>
    </r>
    <r>
      <rPr>
        <sz val="12"/>
        <color rgb="FF002060"/>
        <rFont val="Montserrat"/>
      </rPr>
      <t>Exploratory</t>
    </r>
  </si>
  <si>
    <t>Author</t>
  </si>
  <si>
    <r>
      <rPr>
        <b/>
        <sz val="12"/>
        <color rgb="FF002060"/>
        <rFont val="Montserrat"/>
      </rPr>
      <t xml:space="preserve">: </t>
    </r>
    <r>
      <rPr>
        <sz val="12"/>
        <color rgb="FF002060"/>
        <rFont val="Montserrat"/>
      </rPr>
      <t>Zelvy Fauzan, M.Pd.</t>
    </r>
  </si>
  <si>
    <r>
      <rPr>
        <b/>
        <sz val="12"/>
        <color rgb="FF002060"/>
        <rFont val="Montserrat"/>
      </rPr>
      <t>:</t>
    </r>
    <r>
      <rPr>
        <sz val="12"/>
        <color rgb="FF002060"/>
        <rFont val="Montserrat"/>
      </rPr>
      <t xml:space="preserve"> 121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</si>
</sst>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i/>
      <sz val="12"/>
      <color theme="1"/>
      <name val="Calibri"/>
      <family val="2"/>
      <scheme val="minor"/>
    </font>
    <font>
      <sz val="48"/>
      <color rgb="FF002060"/>
      <name val="Montserrat"/>
    </font>
    <font>
      <b/>
      <i/>
      <u/>
      <sz val="12"/>
      <color theme="1"/>
      <name val="Calibri"/>
      <family val="2"/>
      <scheme val="minor"/>
    </font>
    <font>
      <sz val="12"/>
      <color rgb="FF002060"/>
      <name val="Montserrat"/>
    </font>
    <font>
      <b/>
      <sz val="12"/>
      <color rgb="FF002060"/>
      <name val="Montserrat"/>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
      <patternFill patternType="solid">
        <fgColor theme="2" tint="-9.9978637043366805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0" fontId="18" fillId="0" borderId="0" xfId="0" applyFont="1"/>
    <xf numFmtId="0" fontId="16" fillId="0" borderId="0" xfId="0" applyFont="1"/>
    <xf numFmtId="0" fontId="0" fillId="0" borderId="0" xfId="0" applyFont="1"/>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33" borderId="0" xfId="0" applyFill="1"/>
    <xf numFmtId="0" fontId="0" fillId="34" borderId="0" xfId="0" applyFill="1"/>
    <xf numFmtId="0" fontId="0" fillId="34" borderId="0" xfId="0" applyFill="1" applyAlignment="1">
      <alignment vertical="top" wrapText="1"/>
    </xf>
    <xf numFmtId="0" fontId="0" fillId="34" borderId="0" xfId="0" applyFill="1" applyAlignment="1">
      <alignment vertical="top"/>
    </xf>
    <xf numFmtId="0" fontId="16" fillId="34" borderId="0" xfId="0" applyFont="1" applyFill="1" applyAlignment="1">
      <alignment vertical="top"/>
    </xf>
    <xf numFmtId="0" fontId="21" fillId="33" borderId="0" xfId="0" applyFont="1" applyFill="1" applyAlignment="1">
      <alignment vertical="center"/>
    </xf>
    <xf numFmtId="0" fontId="22" fillId="33" borderId="0" xfId="0" applyFont="1" applyFill="1" applyAlignment="1">
      <alignment vertical="center"/>
    </xf>
    <xf numFmtId="0" fontId="20" fillId="34" borderId="0" xfId="0" applyFont="1" applyFill="1" applyAlignment="1">
      <alignment horizontal="center"/>
    </xf>
    <xf numFmtId="0" fontId="19" fillId="33" borderId="0" xfId="0" applyFont="1" applyFill="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21" Type="http://schemas.microsoft.com/office/2017/06/relationships/rdRichValue" Target="richData/rdrichvalue.xml"/><Relationship Id="rId7" Type="http://schemas.openxmlformats.org/officeDocument/2006/relationships/pivotCacheDefinition" Target="pivotCache/pivotCacheDefinition1.xml"/><Relationship Id="rId12" Type="http://schemas.microsoft.com/office/2007/relationships/slicerCache" Target="slicerCaches/slicerCache1.xml"/><Relationship Id="rId17" Type="http://schemas.openxmlformats.org/officeDocument/2006/relationships/connections" Target="connections.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powerPivotData" Target="model/item.data"/><Relationship Id="rId5" Type="http://schemas.openxmlformats.org/officeDocument/2006/relationships/worksheet" Target="worksheets/sheet5.xml"/><Relationship Id="rId15" Type="http://schemas.microsoft.com/office/2007/relationships/slicerCache" Target="slicerCaches/slicerCache4.xml"/><Relationship Id="rId23" Type="http://schemas.microsoft.com/office/2017/06/relationships/rdRichValueTypes" Target="richData/rdRichValueTypes.xml"/><Relationship Id="rId10" Type="http://schemas.openxmlformats.org/officeDocument/2006/relationships/pivotCacheDefinition" Target="pivotCache/pivotCacheDefinition4.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3.xml"/><Relationship Id="rId22" Type="http://schemas.microsoft.com/office/2017/06/relationships/rdRichValueStructure" Target="richData/rdrichvalue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[Alumni Tracer CS JHS.xlsx]pivot_table!PivotTable1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SMA vs SMK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pivot_table!$B$1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D25-4DB1-8B3B-53949437D33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D25-4DB1-8B3B-53949437D33E}"/>
              </c:ext>
            </c:extLst>
          </c:dPt>
          <c:cat>
            <c:strRef>
              <c:f>pivot_table!$A$2:$A$4</c:f>
              <c:strCache>
                <c:ptCount val="2"/>
                <c:pt idx="0">
                  <c:v>SMA</c:v>
                </c:pt>
                <c:pt idx="1">
                  <c:v>SMK</c:v>
                </c:pt>
              </c:strCache>
            </c:strRef>
          </c:cat>
          <c:val>
            <c:numRef>
              <c:f>pivot_table!$B$2:$B$4</c:f>
              <c:numCache>
                <c:formatCode>General</c:formatCode>
                <c:ptCount val="2"/>
                <c:pt idx="0">
                  <c:v>45</c:v>
                </c:pt>
                <c:pt idx="1">
                  <c:v>76</c:v>
                </c:pt>
              </c:numCache>
            </c:numRef>
          </c:val>
          <c:extLst>
            <c:ext xmlns:c16="http://schemas.microsoft.com/office/drawing/2014/chart" uri="{C3380CC4-5D6E-409C-BE32-E72D297353CC}">
              <c16:uniqueId val="{00000000-E5AD-438B-B8EC-CB92A884D4C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[Alumni Tracer CS JHS.xlsx]pivot_table!PivotTable5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 of Subject Field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pivot_table!$A$17:$A$43</c:f>
              <c:strCache>
                <c:ptCount val="26"/>
                <c:pt idx="0">
                  <c:v>Perhotelan</c:v>
                </c:pt>
                <c:pt idx="1">
                  <c:v>Agribisnis Perikanan Air Tawar</c:v>
                </c:pt>
                <c:pt idx="2">
                  <c:v>Agribisnis Tanaman Pangan dan Hortikultura</c:v>
                </c:pt>
                <c:pt idx="3">
                  <c:v>Layanan Perbankan</c:v>
                </c:pt>
                <c:pt idx="4">
                  <c:v>Tata Boga</c:v>
                </c:pt>
                <c:pt idx="5">
                  <c:v>Usaha Layanan Pariwisata</c:v>
                </c:pt>
                <c:pt idx="6">
                  <c:v>Teknik Otomotif</c:v>
                </c:pt>
                <c:pt idx="7">
                  <c:v>Rekayasa Perangkat Lunak</c:v>
                </c:pt>
                <c:pt idx="8">
                  <c:v>Teknik Bisnis Sepeda Motor</c:v>
                </c:pt>
                <c:pt idx="9">
                  <c:v>Teknik Konstruksi dan Perumahan</c:v>
                </c:pt>
                <c:pt idx="10">
                  <c:v>Farmasi</c:v>
                </c:pt>
                <c:pt idx="11">
                  <c:v>Teknik Instalasi Tenaga Listrik</c:v>
                </c:pt>
                <c:pt idx="12">
                  <c:v>Pemasaran</c:v>
                </c:pt>
                <c:pt idx="13">
                  <c:v>Pengembangan Perangkat Lunak dan Gim</c:v>
                </c:pt>
                <c:pt idx="14">
                  <c:v>Keperawatan</c:v>
                </c:pt>
                <c:pt idx="15">
                  <c:v>Teknik Kendaraan Ringan</c:v>
                </c:pt>
                <c:pt idx="16">
                  <c:v>Teknik Audio Video</c:v>
                </c:pt>
                <c:pt idx="17">
                  <c:v>Teknik Otomasi Industri</c:v>
                </c:pt>
                <c:pt idx="18">
                  <c:v>Teknik Pemesinan</c:v>
                </c:pt>
                <c:pt idx="19">
                  <c:v>Akuntansi</c:v>
                </c:pt>
                <c:pt idx="20">
                  <c:v>Desain Pemodelan dan Informasi Bangunan</c:v>
                </c:pt>
                <c:pt idx="21">
                  <c:v>Desain Komunikasi Visual</c:v>
                </c:pt>
                <c:pt idx="22">
                  <c:v>Teknik Sepeda Motor</c:v>
                </c:pt>
                <c:pt idx="23">
                  <c:v>Teknik Komputer dan Jaringan</c:v>
                </c:pt>
                <c:pt idx="24">
                  <c:v>IPS</c:v>
                </c:pt>
                <c:pt idx="25">
                  <c:v>IPA</c:v>
                </c:pt>
              </c:strCache>
            </c:strRef>
          </c:cat>
          <c:val>
            <c:numRef>
              <c:f>pivot_table!$B$17:$B$43</c:f>
              <c:numCache>
                <c:formatCode>General</c:formatCode>
                <c:ptCount val="26"/>
                <c:pt idx="0">
                  <c:v>1</c:v>
                </c:pt>
                <c:pt idx="1">
                  <c:v>1</c:v>
                </c:pt>
                <c:pt idx="2">
                  <c:v>1</c:v>
                </c:pt>
                <c:pt idx="3">
                  <c:v>1</c:v>
                </c:pt>
                <c:pt idx="4">
                  <c:v>1</c:v>
                </c:pt>
                <c:pt idx="5">
                  <c:v>1</c:v>
                </c:pt>
                <c:pt idx="6">
                  <c:v>1</c:v>
                </c:pt>
                <c:pt idx="7">
                  <c:v>2</c:v>
                </c:pt>
                <c:pt idx="8">
                  <c:v>2</c:v>
                </c:pt>
                <c:pt idx="9">
                  <c:v>2</c:v>
                </c:pt>
                <c:pt idx="10">
                  <c:v>2</c:v>
                </c:pt>
                <c:pt idx="11">
                  <c:v>3</c:v>
                </c:pt>
                <c:pt idx="12">
                  <c:v>3</c:v>
                </c:pt>
                <c:pt idx="13">
                  <c:v>3</c:v>
                </c:pt>
                <c:pt idx="14">
                  <c:v>3</c:v>
                </c:pt>
                <c:pt idx="15">
                  <c:v>4</c:v>
                </c:pt>
                <c:pt idx="16">
                  <c:v>4</c:v>
                </c:pt>
                <c:pt idx="17">
                  <c:v>4</c:v>
                </c:pt>
                <c:pt idx="18">
                  <c:v>4</c:v>
                </c:pt>
                <c:pt idx="19">
                  <c:v>5</c:v>
                </c:pt>
                <c:pt idx="20">
                  <c:v>5</c:v>
                </c:pt>
                <c:pt idx="21">
                  <c:v>5</c:v>
                </c:pt>
                <c:pt idx="22">
                  <c:v>9</c:v>
                </c:pt>
                <c:pt idx="23">
                  <c:v>9</c:v>
                </c:pt>
                <c:pt idx="24">
                  <c:v>20</c:v>
                </c:pt>
                <c:pt idx="25">
                  <c:v>25</c:v>
                </c:pt>
              </c:numCache>
            </c:numRef>
          </c:val>
          <c:extLst>
            <c:ext xmlns:c16="http://schemas.microsoft.com/office/drawing/2014/chart" uri="{C3380CC4-5D6E-409C-BE32-E72D297353CC}">
              <c16:uniqueId val="{00000000-A429-46F6-9939-5E533AEE00FF}"/>
            </c:ext>
          </c:extLst>
        </c:ser>
        <c:dLbls>
          <c:dLblPos val="outEnd"/>
          <c:showLegendKey val="0"/>
          <c:showVal val="1"/>
          <c:showCatName val="0"/>
          <c:showSerName val="0"/>
          <c:showPercent val="0"/>
          <c:showBubbleSize val="0"/>
        </c:dLbls>
        <c:gapWidth val="182"/>
        <c:axId val="1681393808"/>
        <c:axId val="1681384304"/>
      </c:barChart>
      <c:catAx>
        <c:axId val="16813938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Subject Fields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384304"/>
        <c:crosses val="autoZero"/>
        <c:auto val="1"/>
        <c:lblAlgn val="ctr"/>
        <c:lblOffset val="100"/>
        <c:noMultiLvlLbl val="0"/>
      </c:catAx>
      <c:valAx>
        <c:axId val="16813843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393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[Alumni Tracer CS JHS.xlsx]pivot_table!PivotTable8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a:t>
            </a:r>
            <a:r>
              <a:rPr lang="en-US" baseline="0"/>
              <a:t> of Faculty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pivot_table!$B$47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pivot_table!$A$48:$A$59</c:f>
              <c:strCache>
                <c:ptCount val="11"/>
                <c:pt idx="0">
                  <c:v>Agrokultur</c:v>
                </c:pt>
                <c:pt idx="1">
                  <c:v>Pariwisata</c:v>
                </c:pt>
                <c:pt idx="2">
                  <c:v>Mesin</c:v>
                </c:pt>
                <c:pt idx="3">
                  <c:v>Kesehatan</c:v>
                </c:pt>
                <c:pt idx="4">
                  <c:v>Elektro</c:v>
                </c:pt>
                <c:pt idx="5">
                  <c:v>Arsitektur</c:v>
                </c:pt>
                <c:pt idx="6">
                  <c:v>Ekonomi</c:v>
                </c:pt>
                <c:pt idx="7">
                  <c:v>Otomotif</c:v>
                </c:pt>
                <c:pt idx="8">
                  <c:v>Soshum</c:v>
                </c:pt>
                <c:pt idx="9">
                  <c:v>Komputer</c:v>
                </c:pt>
                <c:pt idx="10">
                  <c:v>MIPA</c:v>
                </c:pt>
              </c:strCache>
            </c:strRef>
          </c:cat>
          <c:val>
            <c:numRef>
              <c:f>pivot_table!$B$48:$B$59</c:f>
              <c:numCache>
                <c:formatCode>General</c:formatCode>
                <c:ptCount val="11"/>
                <c:pt idx="0">
                  <c:v>2</c:v>
                </c:pt>
                <c:pt idx="1">
                  <c:v>2</c:v>
                </c:pt>
                <c:pt idx="2">
                  <c:v>4</c:v>
                </c:pt>
                <c:pt idx="3">
                  <c:v>5</c:v>
                </c:pt>
                <c:pt idx="4">
                  <c:v>7</c:v>
                </c:pt>
                <c:pt idx="5">
                  <c:v>7</c:v>
                </c:pt>
                <c:pt idx="6">
                  <c:v>12</c:v>
                </c:pt>
                <c:pt idx="7">
                  <c:v>14</c:v>
                </c:pt>
                <c:pt idx="8">
                  <c:v>20</c:v>
                </c:pt>
                <c:pt idx="9">
                  <c:v>23</c:v>
                </c:pt>
                <c:pt idx="10">
                  <c:v>25</c:v>
                </c:pt>
              </c:numCache>
            </c:numRef>
          </c:val>
          <c:extLst>
            <c:ext xmlns:c16="http://schemas.microsoft.com/office/drawing/2014/chart" uri="{C3380CC4-5D6E-409C-BE32-E72D297353CC}">
              <c16:uniqueId val="{00000000-7B86-43EB-8706-E69B499FB0D5}"/>
            </c:ext>
          </c:extLst>
        </c:ser>
        <c:dLbls>
          <c:dLblPos val="outEnd"/>
          <c:showLegendKey val="0"/>
          <c:showVal val="1"/>
          <c:showCatName val="0"/>
          <c:showSerName val="0"/>
          <c:showPercent val="0"/>
          <c:showBubbleSize val="0"/>
        </c:dLbls>
        <c:gapWidth val="182"/>
        <c:axId val="521630128"/>
        <c:axId val="521630992"/>
      </c:barChart>
      <c:catAx>
        <c:axId val="52163012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Faculty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630992"/>
        <c:crosses val="autoZero"/>
        <c:auto val="1"/>
        <c:lblAlgn val="ctr"/>
        <c:lblOffset val="100"/>
        <c:noMultiLvlLbl val="0"/>
      </c:catAx>
      <c:valAx>
        <c:axId val="52163099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630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[Alumni Tracer CS JHS.xlsx]pivot_table!PivotTable9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Popular Faculties</a:t>
            </a:r>
            <a:r>
              <a:rPr lang="en-US" baseline="0"/>
              <a:t> over the Years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pivot_table!$B$65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pivot_table!$A$66:$A$96</c:f>
              <c:multiLvlStrCache>
                <c:ptCount val="26"/>
                <c:lvl>
                  <c:pt idx="0">
                    <c:v>Ekonomi</c:v>
                  </c:pt>
                  <c:pt idx="1">
                    <c:v>Mesin</c:v>
                  </c:pt>
                  <c:pt idx="2">
                    <c:v>Soshum</c:v>
                  </c:pt>
                  <c:pt idx="3">
                    <c:v>Elektro</c:v>
                  </c:pt>
                  <c:pt idx="4">
                    <c:v>Komputer</c:v>
                  </c:pt>
                  <c:pt idx="5">
                    <c:v>Otomotif</c:v>
                  </c:pt>
                  <c:pt idx="6">
                    <c:v>Elektro</c:v>
                  </c:pt>
                  <c:pt idx="7">
                    <c:v>Arsitektur</c:v>
                  </c:pt>
                  <c:pt idx="8">
                    <c:v>Otomotif</c:v>
                  </c:pt>
                  <c:pt idx="9">
                    <c:v>Mesin</c:v>
                  </c:pt>
                  <c:pt idx="10">
                    <c:v>Kesehatan</c:v>
                  </c:pt>
                  <c:pt idx="11">
                    <c:v>Ekonomi</c:v>
                  </c:pt>
                  <c:pt idx="12">
                    <c:v>Soshum</c:v>
                  </c:pt>
                  <c:pt idx="13">
                    <c:v>Komputer</c:v>
                  </c:pt>
                  <c:pt idx="14">
                    <c:v>MIPA</c:v>
                  </c:pt>
                  <c:pt idx="15">
                    <c:v>Kesehatan</c:v>
                  </c:pt>
                  <c:pt idx="16">
                    <c:v>Mesin</c:v>
                  </c:pt>
                  <c:pt idx="17">
                    <c:v>Pariwisata</c:v>
                  </c:pt>
                  <c:pt idx="18">
                    <c:v>Agrokultur</c:v>
                  </c:pt>
                  <c:pt idx="19">
                    <c:v>Elektro</c:v>
                  </c:pt>
                  <c:pt idx="20">
                    <c:v>Arsitektur</c:v>
                  </c:pt>
                  <c:pt idx="21">
                    <c:v>Ekonomi</c:v>
                  </c:pt>
                  <c:pt idx="22">
                    <c:v>MIPA</c:v>
                  </c:pt>
                  <c:pt idx="23">
                    <c:v>Otomotif</c:v>
                  </c:pt>
                  <c:pt idx="24">
                    <c:v>Komputer</c:v>
                  </c:pt>
                  <c:pt idx="25">
                    <c:v>Soshum</c:v>
                  </c:pt>
                </c:lvl>
                <c:lvl>
                  <c:pt idx="0">
                    <c:v>2022</c:v>
                  </c:pt>
                  <c:pt idx="2">
                    <c:v>2023</c:v>
                  </c:pt>
                  <c:pt idx="6">
                    <c:v>2024</c:v>
                  </c:pt>
                  <c:pt idx="15">
                    <c:v>2025</c:v>
                  </c:pt>
                </c:lvl>
              </c:multiLvlStrCache>
            </c:multiLvlStrRef>
          </c:cat>
          <c:val>
            <c:numRef>
              <c:f>pivot_table!$B$66:$B$96</c:f>
              <c:numCache>
                <c:formatCode>General</c:formatCode>
                <c:ptCount val="26"/>
                <c:pt idx="0">
                  <c:v>1</c:v>
                </c:pt>
                <c:pt idx="1">
                  <c:v>1</c:v>
                </c:pt>
                <c:pt idx="2">
                  <c:v>1</c:v>
                </c:pt>
                <c:pt idx="3">
                  <c:v>1</c:v>
                </c:pt>
                <c:pt idx="4">
                  <c:v>3</c:v>
                </c:pt>
                <c:pt idx="5">
                  <c:v>3</c:v>
                </c:pt>
                <c:pt idx="6">
                  <c:v>2</c:v>
                </c:pt>
                <c:pt idx="7">
                  <c:v>2</c:v>
                </c:pt>
                <c:pt idx="8">
                  <c:v>2</c:v>
                </c:pt>
                <c:pt idx="9">
                  <c:v>2</c:v>
                </c:pt>
                <c:pt idx="10">
                  <c:v>4</c:v>
                </c:pt>
                <c:pt idx="11">
                  <c:v>5</c:v>
                </c:pt>
                <c:pt idx="12">
                  <c:v>7</c:v>
                </c:pt>
                <c:pt idx="13">
                  <c:v>8</c:v>
                </c:pt>
                <c:pt idx="14">
                  <c:v>17</c:v>
                </c:pt>
                <c:pt idx="15">
                  <c:v>1</c:v>
                </c:pt>
                <c:pt idx="16">
                  <c:v>1</c:v>
                </c:pt>
                <c:pt idx="17">
                  <c:v>2</c:v>
                </c:pt>
                <c:pt idx="18">
                  <c:v>2</c:v>
                </c:pt>
                <c:pt idx="19">
                  <c:v>4</c:v>
                </c:pt>
                <c:pt idx="20">
                  <c:v>5</c:v>
                </c:pt>
                <c:pt idx="21">
                  <c:v>6</c:v>
                </c:pt>
                <c:pt idx="22">
                  <c:v>8</c:v>
                </c:pt>
                <c:pt idx="23">
                  <c:v>9</c:v>
                </c:pt>
                <c:pt idx="24">
                  <c:v>12</c:v>
                </c:pt>
                <c:pt idx="25">
                  <c:v>12</c:v>
                </c:pt>
              </c:numCache>
            </c:numRef>
          </c:val>
          <c:extLst>
            <c:ext xmlns:c16="http://schemas.microsoft.com/office/drawing/2014/chart" uri="{C3380CC4-5D6E-409C-BE32-E72D297353CC}">
              <c16:uniqueId val="{00000000-410A-4799-AA01-C8EC8922F1FC}"/>
            </c:ext>
          </c:extLst>
        </c:ser>
        <c:dLbls>
          <c:dLblPos val="outEnd"/>
          <c:showLegendKey val="0"/>
          <c:showVal val="1"/>
          <c:showCatName val="0"/>
          <c:showSerName val="0"/>
          <c:showPercent val="0"/>
          <c:showBubbleSize val="0"/>
        </c:dLbls>
        <c:gapWidth val="219"/>
        <c:overlap val="-27"/>
        <c:axId val="206740896"/>
        <c:axId val="206742192"/>
      </c:barChart>
      <c:catAx>
        <c:axId val="206740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Faculty</a:t>
                </a:r>
                <a:r>
                  <a:rPr lang="en-US" baseline="0"/>
                  <a:t> &amp; Year</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42192"/>
        <c:crosses val="autoZero"/>
        <c:auto val="1"/>
        <c:lblAlgn val="ctr"/>
        <c:lblOffset val="100"/>
        <c:noMultiLvlLbl val="0"/>
      </c:catAx>
      <c:valAx>
        <c:axId val="2067421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40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[Alumni Tracer CS JHS.xlsx]pivot_table!PivotTable1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SMA vs SMK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pivot_table!$B$1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04F-4F61-8063-030CA4D4634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04F-4F61-8063-030CA4D4634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pivot_table!$A$2:$A$4</c:f>
              <c:strCache>
                <c:ptCount val="2"/>
                <c:pt idx="0">
                  <c:v>SMA</c:v>
                </c:pt>
                <c:pt idx="1">
                  <c:v>SMK</c:v>
                </c:pt>
              </c:strCache>
            </c:strRef>
          </c:cat>
          <c:val>
            <c:numRef>
              <c:f>pivot_table!$B$2:$B$4</c:f>
              <c:numCache>
                <c:formatCode>General</c:formatCode>
                <c:ptCount val="2"/>
                <c:pt idx="0">
                  <c:v>45</c:v>
                </c:pt>
                <c:pt idx="1">
                  <c:v>76</c:v>
                </c:pt>
              </c:numCache>
            </c:numRef>
          </c:val>
          <c:extLst>
            <c:ext xmlns:c16="http://schemas.microsoft.com/office/drawing/2014/chart" uri="{C3380CC4-5D6E-409C-BE32-E72D297353CC}">
              <c16:uniqueId val="{00000004-E04F-4F61-8063-030CA4D4634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[Alumni Tracer CS JHS.xlsx]pivot_table!PivotTable5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 of Subject Field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pivot_table!$A$17:$A$43</c:f>
              <c:strCache>
                <c:ptCount val="26"/>
                <c:pt idx="0">
                  <c:v>Perhotelan</c:v>
                </c:pt>
                <c:pt idx="1">
                  <c:v>Agribisnis Perikanan Air Tawar</c:v>
                </c:pt>
                <c:pt idx="2">
                  <c:v>Agribisnis Tanaman Pangan dan Hortikultura</c:v>
                </c:pt>
                <c:pt idx="3">
                  <c:v>Layanan Perbankan</c:v>
                </c:pt>
                <c:pt idx="4">
                  <c:v>Tata Boga</c:v>
                </c:pt>
                <c:pt idx="5">
                  <c:v>Usaha Layanan Pariwisata</c:v>
                </c:pt>
                <c:pt idx="6">
                  <c:v>Teknik Otomotif</c:v>
                </c:pt>
                <c:pt idx="7">
                  <c:v>Rekayasa Perangkat Lunak</c:v>
                </c:pt>
                <c:pt idx="8">
                  <c:v>Teknik Bisnis Sepeda Motor</c:v>
                </c:pt>
                <c:pt idx="9">
                  <c:v>Teknik Konstruksi dan Perumahan</c:v>
                </c:pt>
                <c:pt idx="10">
                  <c:v>Farmasi</c:v>
                </c:pt>
                <c:pt idx="11">
                  <c:v>Teknik Instalasi Tenaga Listrik</c:v>
                </c:pt>
                <c:pt idx="12">
                  <c:v>Pemasaran</c:v>
                </c:pt>
                <c:pt idx="13">
                  <c:v>Pengembangan Perangkat Lunak dan Gim</c:v>
                </c:pt>
                <c:pt idx="14">
                  <c:v>Keperawatan</c:v>
                </c:pt>
                <c:pt idx="15">
                  <c:v>Teknik Kendaraan Ringan</c:v>
                </c:pt>
                <c:pt idx="16">
                  <c:v>Teknik Audio Video</c:v>
                </c:pt>
                <c:pt idx="17">
                  <c:v>Teknik Otomasi Industri</c:v>
                </c:pt>
                <c:pt idx="18">
                  <c:v>Teknik Pemesinan</c:v>
                </c:pt>
                <c:pt idx="19">
                  <c:v>Akuntansi</c:v>
                </c:pt>
                <c:pt idx="20">
                  <c:v>Desain Pemodelan dan Informasi Bangunan</c:v>
                </c:pt>
                <c:pt idx="21">
                  <c:v>Desain Komunikasi Visual</c:v>
                </c:pt>
                <c:pt idx="22">
                  <c:v>Teknik Sepeda Motor</c:v>
                </c:pt>
                <c:pt idx="23">
                  <c:v>Teknik Komputer dan Jaringan</c:v>
                </c:pt>
                <c:pt idx="24">
                  <c:v>IPS</c:v>
                </c:pt>
                <c:pt idx="25">
                  <c:v>IPA</c:v>
                </c:pt>
              </c:strCache>
            </c:strRef>
          </c:cat>
          <c:val>
            <c:numRef>
              <c:f>pivot_table!$B$17:$B$43</c:f>
              <c:numCache>
                <c:formatCode>General</c:formatCode>
                <c:ptCount val="26"/>
                <c:pt idx="0">
                  <c:v>1</c:v>
                </c:pt>
                <c:pt idx="1">
                  <c:v>1</c:v>
                </c:pt>
                <c:pt idx="2">
                  <c:v>1</c:v>
                </c:pt>
                <c:pt idx="3">
                  <c:v>1</c:v>
                </c:pt>
                <c:pt idx="4">
                  <c:v>1</c:v>
                </c:pt>
                <c:pt idx="5">
                  <c:v>1</c:v>
                </c:pt>
                <c:pt idx="6">
                  <c:v>1</c:v>
                </c:pt>
                <c:pt idx="7">
                  <c:v>2</c:v>
                </c:pt>
                <c:pt idx="8">
                  <c:v>2</c:v>
                </c:pt>
                <c:pt idx="9">
                  <c:v>2</c:v>
                </c:pt>
                <c:pt idx="10">
                  <c:v>2</c:v>
                </c:pt>
                <c:pt idx="11">
                  <c:v>3</c:v>
                </c:pt>
                <c:pt idx="12">
                  <c:v>3</c:v>
                </c:pt>
                <c:pt idx="13">
                  <c:v>3</c:v>
                </c:pt>
                <c:pt idx="14">
                  <c:v>3</c:v>
                </c:pt>
                <c:pt idx="15">
                  <c:v>4</c:v>
                </c:pt>
                <c:pt idx="16">
                  <c:v>4</c:v>
                </c:pt>
                <c:pt idx="17">
                  <c:v>4</c:v>
                </c:pt>
                <c:pt idx="18">
                  <c:v>4</c:v>
                </c:pt>
                <c:pt idx="19">
                  <c:v>5</c:v>
                </c:pt>
                <c:pt idx="20">
                  <c:v>5</c:v>
                </c:pt>
                <c:pt idx="21">
                  <c:v>5</c:v>
                </c:pt>
                <c:pt idx="22">
                  <c:v>9</c:v>
                </c:pt>
                <c:pt idx="23">
                  <c:v>9</c:v>
                </c:pt>
                <c:pt idx="24">
                  <c:v>20</c:v>
                </c:pt>
                <c:pt idx="25">
                  <c:v>25</c:v>
                </c:pt>
              </c:numCache>
            </c:numRef>
          </c:val>
          <c:extLst>
            <c:ext xmlns:c16="http://schemas.microsoft.com/office/drawing/2014/chart" uri="{C3380CC4-5D6E-409C-BE32-E72D297353CC}">
              <c16:uniqueId val="{00000000-8F58-4440-A388-C3F8F5C3DB0C}"/>
            </c:ext>
          </c:extLst>
        </c:ser>
        <c:dLbls>
          <c:dLblPos val="outEnd"/>
          <c:showLegendKey val="0"/>
          <c:showVal val="1"/>
          <c:showCatName val="0"/>
          <c:showSerName val="0"/>
          <c:showPercent val="0"/>
          <c:showBubbleSize val="0"/>
        </c:dLbls>
        <c:gapWidth val="182"/>
        <c:axId val="1681393808"/>
        <c:axId val="1681384304"/>
      </c:barChart>
      <c:catAx>
        <c:axId val="16813938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Subject Fields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384304"/>
        <c:crosses val="autoZero"/>
        <c:auto val="1"/>
        <c:lblAlgn val="ctr"/>
        <c:lblOffset val="100"/>
        <c:noMultiLvlLbl val="0"/>
      </c:catAx>
      <c:valAx>
        <c:axId val="16813843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393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[Alumni Tracer CS JHS.xlsx]pivot_table!PivotTable8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a:t>
            </a:r>
            <a:r>
              <a:rPr lang="en-US" baseline="0"/>
              <a:t> of Faculty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pivot_table!$B$47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pivot_table!$A$48:$A$59</c:f>
              <c:strCache>
                <c:ptCount val="11"/>
                <c:pt idx="0">
                  <c:v>Agrokultur</c:v>
                </c:pt>
                <c:pt idx="1">
                  <c:v>Pariwisata</c:v>
                </c:pt>
                <c:pt idx="2">
                  <c:v>Mesin</c:v>
                </c:pt>
                <c:pt idx="3">
                  <c:v>Kesehatan</c:v>
                </c:pt>
                <c:pt idx="4">
                  <c:v>Elektro</c:v>
                </c:pt>
                <c:pt idx="5">
                  <c:v>Arsitektur</c:v>
                </c:pt>
                <c:pt idx="6">
                  <c:v>Ekonomi</c:v>
                </c:pt>
                <c:pt idx="7">
                  <c:v>Otomotif</c:v>
                </c:pt>
                <c:pt idx="8">
                  <c:v>Soshum</c:v>
                </c:pt>
                <c:pt idx="9">
                  <c:v>Komputer</c:v>
                </c:pt>
                <c:pt idx="10">
                  <c:v>MIPA</c:v>
                </c:pt>
              </c:strCache>
            </c:strRef>
          </c:cat>
          <c:val>
            <c:numRef>
              <c:f>pivot_table!$B$48:$B$59</c:f>
              <c:numCache>
                <c:formatCode>General</c:formatCode>
                <c:ptCount val="11"/>
                <c:pt idx="0">
                  <c:v>2</c:v>
                </c:pt>
                <c:pt idx="1">
                  <c:v>2</c:v>
                </c:pt>
                <c:pt idx="2">
                  <c:v>4</c:v>
                </c:pt>
                <c:pt idx="3">
                  <c:v>5</c:v>
                </c:pt>
                <c:pt idx="4">
                  <c:v>7</c:v>
                </c:pt>
                <c:pt idx="5">
                  <c:v>7</c:v>
                </c:pt>
                <c:pt idx="6">
                  <c:v>12</c:v>
                </c:pt>
                <c:pt idx="7">
                  <c:v>14</c:v>
                </c:pt>
                <c:pt idx="8">
                  <c:v>20</c:v>
                </c:pt>
                <c:pt idx="9">
                  <c:v>23</c:v>
                </c:pt>
                <c:pt idx="10">
                  <c:v>25</c:v>
                </c:pt>
              </c:numCache>
            </c:numRef>
          </c:val>
          <c:extLst>
            <c:ext xmlns:c16="http://schemas.microsoft.com/office/drawing/2014/chart" uri="{C3380CC4-5D6E-409C-BE32-E72D297353CC}">
              <c16:uniqueId val="{00000000-5369-4783-9C74-0222A2E3B533}"/>
            </c:ext>
          </c:extLst>
        </c:ser>
        <c:dLbls>
          <c:dLblPos val="outEnd"/>
          <c:showLegendKey val="0"/>
          <c:showVal val="1"/>
          <c:showCatName val="0"/>
          <c:showSerName val="0"/>
          <c:showPercent val="0"/>
          <c:showBubbleSize val="0"/>
        </c:dLbls>
        <c:gapWidth val="182"/>
        <c:axId val="521630128"/>
        <c:axId val="521630992"/>
      </c:barChart>
      <c:catAx>
        <c:axId val="52163012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Faculty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630992"/>
        <c:crosses val="autoZero"/>
        <c:auto val="1"/>
        <c:lblAlgn val="ctr"/>
        <c:lblOffset val="100"/>
        <c:noMultiLvlLbl val="0"/>
      </c:catAx>
      <c:valAx>
        <c:axId val="52163099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630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[Alumni Tracer CS JHS.xlsx]pivot_table!PivotTable9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Popular Faculties</a:t>
            </a:r>
            <a:r>
              <a:rPr lang="en-US" baseline="0"/>
              <a:t> over the Years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pivot_table!$B$65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pivot_table!$A$66:$A$96</c:f>
              <c:multiLvlStrCache>
                <c:ptCount val="26"/>
                <c:lvl>
                  <c:pt idx="0">
                    <c:v>Ekonomi</c:v>
                  </c:pt>
                  <c:pt idx="1">
                    <c:v>Mesin</c:v>
                  </c:pt>
                  <c:pt idx="2">
                    <c:v>Soshum</c:v>
                  </c:pt>
                  <c:pt idx="3">
                    <c:v>Elektro</c:v>
                  </c:pt>
                  <c:pt idx="4">
                    <c:v>Komputer</c:v>
                  </c:pt>
                  <c:pt idx="5">
                    <c:v>Otomotif</c:v>
                  </c:pt>
                  <c:pt idx="6">
                    <c:v>Elektro</c:v>
                  </c:pt>
                  <c:pt idx="7">
                    <c:v>Arsitektur</c:v>
                  </c:pt>
                  <c:pt idx="8">
                    <c:v>Otomotif</c:v>
                  </c:pt>
                  <c:pt idx="9">
                    <c:v>Mesin</c:v>
                  </c:pt>
                  <c:pt idx="10">
                    <c:v>Kesehatan</c:v>
                  </c:pt>
                  <c:pt idx="11">
                    <c:v>Ekonomi</c:v>
                  </c:pt>
                  <c:pt idx="12">
                    <c:v>Soshum</c:v>
                  </c:pt>
                  <c:pt idx="13">
                    <c:v>Komputer</c:v>
                  </c:pt>
                  <c:pt idx="14">
                    <c:v>MIPA</c:v>
                  </c:pt>
                  <c:pt idx="15">
                    <c:v>Kesehatan</c:v>
                  </c:pt>
                  <c:pt idx="16">
                    <c:v>Mesin</c:v>
                  </c:pt>
                  <c:pt idx="17">
                    <c:v>Pariwisata</c:v>
                  </c:pt>
                  <c:pt idx="18">
                    <c:v>Agrokultur</c:v>
                  </c:pt>
                  <c:pt idx="19">
                    <c:v>Elektro</c:v>
                  </c:pt>
                  <c:pt idx="20">
                    <c:v>Arsitektur</c:v>
                  </c:pt>
                  <c:pt idx="21">
                    <c:v>Ekonomi</c:v>
                  </c:pt>
                  <c:pt idx="22">
                    <c:v>MIPA</c:v>
                  </c:pt>
                  <c:pt idx="23">
                    <c:v>Otomotif</c:v>
                  </c:pt>
                  <c:pt idx="24">
                    <c:v>Komputer</c:v>
                  </c:pt>
                  <c:pt idx="25">
                    <c:v>Soshum</c:v>
                  </c:pt>
                </c:lvl>
                <c:lvl>
                  <c:pt idx="0">
                    <c:v>2022</c:v>
                  </c:pt>
                  <c:pt idx="2">
                    <c:v>2023</c:v>
                  </c:pt>
                  <c:pt idx="6">
                    <c:v>2024</c:v>
                  </c:pt>
                  <c:pt idx="15">
                    <c:v>2025</c:v>
                  </c:pt>
                </c:lvl>
              </c:multiLvlStrCache>
            </c:multiLvlStrRef>
          </c:cat>
          <c:val>
            <c:numRef>
              <c:f>pivot_table!$B$66:$B$96</c:f>
              <c:numCache>
                <c:formatCode>General</c:formatCode>
                <c:ptCount val="26"/>
                <c:pt idx="0">
                  <c:v>1</c:v>
                </c:pt>
                <c:pt idx="1">
                  <c:v>1</c:v>
                </c:pt>
                <c:pt idx="2">
                  <c:v>1</c:v>
                </c:pt>
                <c:pt idx="3">
                  <c:v>1</c:v>
                </c:pt>
                <c:pt idx="4">
                  <c:v>3</c:v>
                </c:pt>
                <c:pt idx="5">
                  <c:v>3</c:v>
                </c:pt>
                <c:pt idx="6">
                  <c:v>2</c:v>
                </c:pt>
                <c:pt idx="7">
                  <c:v>2</c:v>
                </c:pt>
                <c:pt idx="8">
                  <c:v>2</c:v>
                </c:pt>
                <c:pt idx="9">
                  <c:v>2</c:v>
                </c:pt>
                <c:pt idx="10">
                  <c:v>4</c:v>
                </c:pt>
                <c:pt idx="11">
                  <c:v>5</c:v>
                </c:pt>
                <c:pt idx="12">
                  <c:v>7</c:v>
                </c:pt>
                <c:pt idx="13">
                  <c:v>8</c:v>
                </c:pt>
                <c:pt idx="14">
                  <c:v>17</c:v>
                </c:pt>
                <c:pt idx="15">
                  <c:v>1</c:v>
                </c:pt>
                <c:pt idx="16">
                  <c:v>1</c:v>
                </c:pt>
                <c:pt idx="17">
                  <c:v>2</c:v>
                </c:pt>
                <c:pt idx="18">
                  <c:v>2</c:v>
                </c:pt>
                <c:pt idx="19">
                  <c:v>4</c:v>
                </c:pt>
                <c:pt idx="20">
                  <c:v>5</c:v>
                </c:pt>
                <c:pt idx="21">
                  <c:v>6</c:v>
                </c:pt>
                <c:pt idx="22">
                  <c:v>8</c:v>
                </c:pt>
                <c:pt idx="23">
                  <c:v>9</c:v>
                </c:pt>
                <c:pt idx="24">
                  <c:v>12</c:v>
                </c:pt>
                <c:pt idx="25">
                  <c:v>12</c:v>
                </c:pt>
              </c:numCache>
            </c:numRef>
          </c:val>
          <c:extLst>
            <c:ext xmlns:c16="http://schemas.microsoft.com/office/drawing/2014/chart" uri="{C3380CC4-5D6E-409C-BE32-E72D297353CC}">
              <c16:uniqueId val="{00000000-2411-40E3-9746-041BA9115C7D}"/>
            </c:ext>
          </c:extLst>
        </c:ser>
        <c:dLbls>
          <c:dLblPos val="outEnd"/>
          <c:showLegendKey val="0"/>
          <c:showVal val="1"/>
          <c:showCatName val="0"/>
          <c:showSerName val="0"/>
          <c:showPercent val="0"/>
          <c:showBubbleSize val="0"/>
        </c:dLbls>
        <c:gapWidth val="219"/>
        <c:overlap val="-27"/>
        <c:axId val="206740896"/>
        <c:axId val="206742192"/>
      </c:barChart>
      <c:catAx>
        <c:axId val="206740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Faculty</a:t>
                </a:r>
                <a:r>
                  <a:rPr lang="en-US" baseline="0"/>
                  <a:t> &amp; Year</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42192"/>
        <c:crosses val="autoZero"/>
        <c:auto val="1"/>
        <c:lblAlgn val="ctr"/>
        <c:lblOffset val="100"/>
        <c:noMultiLvlLbl val="0"/>
      </c:catAx>
      <c:valAx>
        <c:axId val="2067421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40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47625</xdr:colOff>
      <xdr:row>0</xdr:row>
      <xdr:rowOff>0</xdr:rowOff>
    </xdr:from>
    <xdr:to>
      <xdr:col>7</xdr:col>
      <xdr:colOff>171450</xdr:colOff>
      <xdr:row>13</xdr:row>
      <xdr:rowOff>142875</xdr:rowOff>
    </xdr:to>
    <xdr:graphicFrame macro="">
      <xdr:nvGraphicFramePr>
        <xdr:cNvPr id="2" name="Chart 1">
          <a:extLst>
            <a:ext uri="{FF2B5EF4-FFF2-40B4-BE49-F238E27FC236}">
              <a16:creationId xmlns:a16="http://schemas.microsoft.com/office/drawing/2014/main" id="{2BEA5D96-9269-4B69-A45D-DA04331C50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42862</xdr:colOff>
      <xdr:row>15</xdr:row>
      <xdr:rowOff>4762</xdr:rowOff>
    </xdr:from>
    <xdr:to>
      <xdr:col>10</xdr:col>
      <xdr:colOff>495300</xdr:colOff>
      <xdr:row>44</xdr:row>
      <xdr:rowOff>28575</xdr:rowOff>
    </xdr:to>
    <xdr:graphicFrame macro="">
      <xdr:nvGraphicFramePr>
        <xdr:cNvPr id="6" name="Chart 5">
          <a:extLst>
            <a:ext uri="{FF2B5EF4-FFF2-40B4-BE49-F238E27FC236}">
              <a16:creationId xmlns:a16="http://schemas.microsoft.com/office/drawing/2014/main" id="{750E331F-0895-4F21-A609-412ED6A319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61912</xdr:colOff>
      <xdr:row>45</xdr:row>
      <xdr:rowOff>185736</xdr:rowOff>
    </xdr:from>
    <xdr:to>
      <xdr:col>9</xdr:col>
      <xdr:colOff>4762</xdr:colOff>
      <xdr:row>61</xdr:row>
      <xdr:rowOff>190499</xdr:rowOff>
    </xdr:to>
    <xdr:graphicFrame macro="">
      <xdr:nvGraphicFramePr>
        <xdr:cNvPr id="8" name="Chart 7">
          <a:extLst>
            <a:ext uri="{FF2B5EF4-FFF2-40B4-BE49-F238E27FC236}">
              <a16:creationId xmlns:a16="http://schemas.microsoft.com/office/drawing/2014/main" id="{4C267831-39B8-448B-9542-2079C8D10A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71436</xdr:colOff>
      <xdr:row>64</xdr:row>
      <xdr:rowOff>14287</xdr:rowOff>
    </xdr:from>
    <xdr:to>
      <xdr:col>11</xdr:col>
      <xdr:colOff>19049</xdr:colOff>
      <xdr:row>88</xdr:row>
      <xdr:rowOff>9525</xdr:rowOff>
    </xdr:to>
    <xdr:graphicFrame macro="">
      <xdr:nvGraphicFramePr>
        <xdr:cNvPr id="9" name="Chart 8">
          <a:extLst>
            <a:ext uri="{FF2B5EF4-FFF2-40B4-BE49-F238E27FC236}">
              <a16:creationId xmlns:a16="http://schemas.microsoft.com/office/drawing/2014/main" id="{FD80B7A1-4C2A-42BA-894D-701186499D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964711</xdr:colOff>
      <xdr:row>9</xdr:row>
      <xdr:rowOff>49306</xdr:rowOff>
    </xdr:from>
    <xdr:to>
      <xdr:col>7</xdr:col>
      <xdr:colOff>53228</xdr:colOff>
      <xdr:row>19</xdr:row>
      <xdr:rowOff>106456</xdr:rowOff>
    </xdr:to>
    <xdr:graphicFrame macro="">
      <xdr:nvGraphicFramePr>
        <xdr:cNvPr id="2" name="Chart 1">
          <a:extLst>
            <a:ext uri="{FF2B5EF4-FFF2-40B4-BE49-F238E27FC236}">
              <a16:creationId xmlns:a16="http://schemas.microsoft.com/office/drawing/2014/main" id="{294EE4E9-1CBB-4099-8806-74FC30DA7F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10</xdr:row>
      <xdr:rowOff>57150</xdr:rowOff>
    </xdr:from>
    <xdr:to>
      <xdr:col>1</xdr:col>
      <xdr:colOff>913335</xdr:colOff>
      <xdr:row>15</xdr:row>
      <xdr:rowOff>123825</xdr:rowOff>
    </xdr:to>
    <mc:AlternateContent xmlns:mc="http://schemas.openxmlformats.org/markup-compatibility/2006" xmlns:a14="http://schemas.microsoft.com/office/drawing/2010/main">
      <mc:Choice Requires="a14">
        <xdr:graphicFrame macro="">
          <xdr:nvGraphicFramePr>
            <xdr:cNvPr id="6" name="Jenis Kelamin">
              <a:extLst>
                <a:ext uri="{FF2B5EF4-FFF2-40B4-BE49-F238E27FC236}">
                  <a16:creationId xmlns:a16="http://schemas.microsoft.com/office/drawing/2014/main" id="{19D6F617-5FD7-48BD-B553-8B3F8786E332}"/>
                </a:ext>
              </a:extLst>
            </xdr:cNvPr>
            <xdr:cNvGraphicFramePr/>
          </xdr:nvGraphicFramePr>
          <xdr:xfrm>
            <a:off x="0" y="0"/>
            <a:ext cx="0" cy="0"/>
          </xdr:xfrm>
          <a:graphic>
            <a:graphicData uri="http://schemas.microsoft.com/office/drawing/2010/slicer">
              <sle:slicer xmlns:sle="http://schemas.microsoft.com/office/drawing/2010/slicer" name="Jenis Kelamin"/>
            </a:graphicData>
          </a:graphic>
        </xdr:graphicFrame>
      </mc:Choice>
      <mc:Fallback xmlns="">
        <xdr:sp macro="" textlink="">
          <xdr:nvSpPr>
            <xdr:cNvPr id="0" name=""/>
            <xdr:cNvSpPr>
              <a:spLocks noTextEdit="1"/>
            </xdr:cNvSpPr>
          </xdr:nvSpPr>
          <xdr:spPr>
            <a:xfrm>
              <a:off x="0" y="2181958"/>
              <a:ext cx="1719297" cy="10435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103775</xdr:colOff>
      <xdr:row>9</xdr:row>
      <xdr:rowOff>41413</xdr:rowOff>
    </xdr:from>
    <xdr:to>
      <xdr:col>16</xdr:col>
      <xdr:colOff>672352</xdr:colOff>
      <xdr:row>34</xdr:row>
      <xdr:rowOff>74544</xdr:rowOff>
    </xdr:to>
    <xdr:graphicFrame macro="">
      <xdr:nvGraphicFramePr>
        <xdr:cNvPr id="7" name="Chart 6">
          <a:extLst>
            <a:ext uri="{FF2B5EF4-FFF2-40B4-BE49-F238E27FC236}">
              <a16:creationId xmlns:a16="http://schemas.microsoft.com/office/drawing/2014/main" id="{64BF96D5-7439-46AA-BD7D-755AA8D998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964711</xdr:colOff>
      <xdr:row>19</xdr:row>
      <xdr:rowOff>143729</xdr:rowOff>
    </xdr:from>
    <xdr:to>
      <xdr:col>7</xdr:col>
      <xdr:colOff>51156</xdr:colOff>
      <xdr:row>34</xdr:row>
      <xdr:rowOff>77468</xdr:rowOff>
    </xdr:to>
    <xdr:graphicFrame macro="">
      <xdr:nvGraphicFramePr>
        <xdr:cNvPr id="8" name="Chart 7">
          <a:extLst>
            <a:ext uri="{FF2B5EF4-FFF2-40B4-BE49-F238E27FC236}">
              <a16:creationId xmlns:a16="http://schemas.microsoft.com/office/drawing/2014/main" id="{F22627D5-4232-4AF6-A039-B1DE1C4803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976924</xdr:colOff>
      <xdr:row>34</xdr:row>
      <xdr:rowOff>117199</xdr:rowOff>
    </xdr:from>
    <xdr:to>
      <xdr:col>16</xdr:col>
      <xdr:colOff>676276</xdr:colOff>
      <xdr:row>58</xdr:row>
      <xdr:rowOff>142254</xdr:rowOff>
    </xdr:to>
    <xdr:graphicFrame macro="">
      <xdr:nvGraphicFramePr>
        <xdr:cNvPr id="9" name="Chart 8">
          <a:extLst>
            <a:ext uri="{FF2B5EF4-FFF2-40B4-BE49-F238E27FC236}">
              <a16:creationId xmlns:a16="http://schemas.microsoft.com/office/drawing/2014/main" id="{361736E0-F03B-4405-AB68-A14A50EE5B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15</xdr:row>
      <xdr:rowOff>161925</xdr:rowOff>
    </xdr:from>
    <xdr:to>
      <xdr:col>1</xdr:col>
      <xdr:colOff>902504</xdr:colOff>
      <xdr:row>23</xdr:row>
      <xdr:rowOff>153866</xdr:rowOff>
    </xdr:to>
    <mc:AlternateContent xmlns:mc="http://schemas.openxmlformats.org/markup-compatibility/2006" xmlns:a14="http://schemas.microsoft.com/office/drawing/2010/main">
      <mc:Choice Requires="a14">
        <xdr:graphicFrame macro="">
          <xdr:nvGraphicFramePr>
            <xdr:cNvPr id="10" name="Lulus dari SPENSANA  ...">
              <a:extLst>
                <a:ext uri="{FF2B5EF4-FFF2-40B4-BE49-F238E27FC236}">
                  <a16:creationId xmlns:a16="http://schemas.microsoft.com/office/drawing/2014/main" id="{83DCF381-B92D-4F7F-8019-3FB7C1DBBDC2}"/>
                </a:ext>
              </a:extLst>
            </xdr:cNvPr>
            <xdr:cNvGraphicFramePr/>
          </xdr:nvGraphicFramePr>
          <xdr:xfrm>
            <a:off x="0" y="0"/>
            <a:ext cx="0" cy="0"/>
          </xdr:xfrm>
          <a:graphic>
            <a:graphicData uri="http://schemas.microsoft.com/office/drawing/2010/slicer">
              <sle:slicer xmlns:sle="http://schemas.microsoft.com/office/drawing/2010/slicer" name="Lulus dari SPENSANA  ..."/>
            </a:graphicData>
          </a:graphic>
        </xdr:graphicFrame>
      </mc:Choice>
      <mc:Fallback xmlns="">
        <xdr:sp macro="" textlink="">
          <xdr:nvSpPr>
            <xdr:cNvPr id="0" name=""/>
            <xdr:cNvSpPr>
              <a:spLocks noTextEdit="1"/>
            </xdr:cNvSpPr>
          </xdr:nvSpPr>
          <xdr:spPr>
            <a:xfrm>
              <a:off x="0" y="3263656"/>
              <a:ext cx="1708466" cy="15550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24</xdr:row>
      <xdr:rowOff>0</xdr:rowOff>
    </xdr:from>
    <xdr:to>
      <xdr:col>1</xdr:col>
      <xdr:colOff>907805</xdr:colOff>
      <xdr:row>29</xdr:row>
      <xdr:rowOff>0</xdr:rowOff>
    </xdr:to>
    <mc:AlternateContent xmlns:mc="http://schemas.openxmlformats.org/markup-compatibility/2006" xmlns:a14="http://schemas.microsoft.com/office/drawing/2010/main">
      <mc:Choice Requires="a14">
        <xdr:graphicFrame macro="">
          <xdr:nvGraphicFramePr>
            <xdr:cNvPr id="11" name="Lanjut ke Sekolah Menengah ...">
              <a:extLst>
                <a:ext uri="{FF2B5EF4-FFF2-40B4-BE49-F238E27FC236}">
                  <a16:creationId xmlns:a16="http://schemas.microsoft.com/office/drawing/2014/main" id="{A7645A64-5558-4C07-9B5A-6FA77A7E6ACD}"/>
                </a:ext>
              </a:extLst>
            </xdr:cNvPr>
            <xdr:cNvGraphicFramePr/>
          </xdr:nvGraphicFramePr>
          <xdr:xfrm>
            <a:off x="0" y="0"/>
            <a:ext cx="0" cy="0"/>
          </xdr:xfrm>
          <a:graphic>
            <a:graphicData uri="http://schemas.microsoft.com/office/drawing/2010/slicer">
              <sle:slicer xmlns:sle="http://schemas.microsoft.com/office/drawing/2010/slicer" name="Lanjut ke Sekolah Menengah ..."/>
            </a:graphicData>
          </a:graphic>
        </xdr:graphicFrame>
      </mc:Choice>
      <mc:Fallback xmlns="">
        <xdr:sp macro="" textlink="">
          <xdr:nvSpPr>
            <xdr:cNvPr id="0" name=""/>
            <xdr:cNvSpPr>
              <a:spLocks noTextEdit="1"/>
            </xdr:cNvSpPr>
          </xdr:nvSpPr>
          <xdr:spPr>
            <a:xfrm>
              <a:off x="0" y="4860192"/>
              <a:ext cx="1713767" cy="9769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38100</xdr:colOff>
      <xdr:row>9</xdr:row>
      <xdr:rowOff>57150</xdr:rowOff>
    </xdr:from>
    <xdr:to>
      <xdr:col>19</xdr:col>
      <xdr:colOff>361950</xdr:colOff>
      <xdr:row>21</xdr:row>
      <xdr:rowOff>122117</xdr:rowOff>
    </xdr:to>
    <xdr:sp macro="" textlink="">
      <xdr:nvSpPr>
        <xdr:cNvPr id="12" name="Rectangle 11">
          <a:extLst>
            <a:ext uri="{FF2B5EF4-FFF2-40B4-BE49-F238E27FC236}">
              <a16:creationId xmlns:a16="http://schemas.microsoft.com/office/drawing/2014/main" id="{BB03DAA0-6BFA-4EB1-99A8-F69F28C1391C}"/>
            </a:ext>
          </a:extLst>
        </xdr:cNvPr>
        <xdr:cNvSpPr/>
      </xdr:nvSpPr>
      <xdr:spPr>
        <a:xfrm>
          <a:off x="12103100" y="1986573"/>
          <a:ext cx="1691542" cy="2409582"/>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i="1">
              <a:solidFill>
                <a:sysClr val="windowText" lastClr="000000"/>
              </a:solidFill>
            </a:rPr>
            <a:t>Insights:</a:t>
          </a:r>
        </a:p>
        <a:p>
          <a:pPr algn="l"/>
          <a:endParaRPr lang="en-US" sz="1100" b="1" i="1">
            <a:solidFill>
              <a:sysClr val="windowText" lastClr="000000"/>
            </a:solidFill>
          </a:endParaRPr>
        </a:p>
        <a:p>
          <a:pPr algn="l"/>
          <a:r>
            <a:rPr lang="en-US" sz="1100">
              <a:solidFill>
                <a:sysClr val="windowText" lastClr="000000"/>
              </a:solidFill>
            </a:rPr>
            <a:t>1. </a:t>
          </a:r>
          <a:r>
            <a:rPr lang="en-US" sz="1100" b="1">
              <a:solidFill>
                <a:sysClr val="windowText" lastClr="000000"/>
              </a:solidFill>
            </a:rPr>
            <a:t>63%</a:t>
          </a:r>
          <a:r>
            <a:rPr lang="en-US" sz="1100">
              <a:solidFill>
                <a:sysClr val="windowText" lastClr="000000"/>
              </a:solidFill>
            </a:rPr>
            <a:t> of alumni decided to continue to </a:t>
          </a:r>
          <a:r>
            <a:rPr lang="en-US" sz="1100" b="1">
              <a:solidFill>
                <a:sysClr val="windowText" lastClr="000000"/>
              </a:solidFill>
            </a:rPr>
            <a:t>SMK</a:t>
          </a:r>
          <a:r>
            <a:rPr lang="en-US" sz="1100">
              <a:solidFill>
                <a:sysClr val="windowText" lastClr="000000"/>
              </a:solidFill>
            </a:rPr>
            <a:t>.</a:t>
          </a:r>
        </a:p>
        <a:p>
          <a:pPr algn="l"/>
          <a:r>
            <a:rPr lang="en-US" sz="1100">
              <a:solidFill>
                <a:sysClr val="windowText" lastClr="000000"/>
              </a:solidFill>
            </a:rPr>
            <a:t>2. </a:t>
          </a:r>
          <a:r>
            <a:rPr lang="en-US" sz="1100" b="1">
              <a:solidFill>
                <a:sysClr val="windowText" lastClr="000000"/>
              </a:solidFill>
            </a:rPr>
            <a:t>Computer</a:t>
          </a:r>
          <a:r>
            <a:rPr lang="en-US" sz="1100">
              <a:solidFill>
                <a:sysClr val="windowText" lastClr="000000"/>
              </a:solidFill>
            </a:rPr>
            <a:t>, </a:t>
          </a:r>
          <a:r>
            <a:rPr lang="en-US" sz="1100" b="1">
              <a:solidFill>
                <a:sysClr val="windowText" lastClr="000000"/>
              </a:solidFill>
            </a:rPr>
            <a:t>Automotive</a:t>
          </a:r>
          <a:r>
            <a:rPr lang="en-US" sz="1100">
              <a:solidFill>
                <a:sysClr val="windowText" lastClr="000000"/>
              </a:solidFill>
            </a:rPr>
            <a:t>, and </a:t>
          </a:r>
          <a:r>
            <a:rPr lang="en-US" sz="1100" b="1">
              <a:solidFill>
                <a:sysClr val="windowText" lastClr="000000"/>
              </a:solidFill>
            </a:rPr>
            <a:t>Economy</a:t>
          </a:r>
          <a:r>
            <a:rPr lang="en-US" sz="1100">
              <a:solidFill>
                <a:sysClr val="windowText" lastClr="000000"/>
              </a:solidFill>
            </a:rPr>
            <a:t> are the 1st, 2nd, and 3rd </a:t>
          </a:r>
          <a:r>
            <a:rPr lang="en-US" sz="1100" b="1">
              <a:solidFill>
                <a:sysClr val="windowText" lastClr="000000"/>
              </a:solidFill>
            </a:rPr>
            <a:t>most popular </a:t>
          </a:r>
          <a:r>
            <a:rPr lang="en-US" sz="1100">
              <a:solidFill>
                <a:sysClr val="windowText" lastClr="000000"/>
              </a:solidFill>
            </a:rPr>
            <a:t>faculties among alumni.</a:t>
          </a:r>
        </a:p>
        <a:p>
          <a:pPr algn="l"/>
          <a:r>
            <a:rPr lang="en-US" sz="1100">
              <a:solidFill>
                <a:sysClr val="windowText" lastClr="000000"/>
              </a:solidFill>
            </a:rPr>
            <a:t>3. </a:t>
          </a:r>
          <a:r>
            <a:rPr lang="en-US" sz="1100" b="1">
              <a:solidFill>
                <a:sysClr val="windowText" lastClr="000000"/>
              </a:solidFill>
            </a:rPr>
            <a:t>Computer faculty </a:t>
          </a:r>
          <a:r>
            <a:rPr lang="en-US" sz="1100">
              <a:solidFill>
                <a:sysClr val="windowText" lastClr="000000"/>
              </a:solidFill>
            </a:rPr>
            <a:t>remains amont the </a:t>
          </a:r>
          <a:r>
            <a:rPr lang="en-US" sz="1100" b="1">
              <a:solidFill>
                <a:sysClr val="windowText" lastClr="000000"/>
              </a:solidFill>
            </a:rPr>
            <a:t>top 3</a:t>
          </a:r>
          <a:r>
            <a:rPr lang="en-US" sz="1100">
              <a:solidFill>
                <a:sysClr val="windowText" lastClr="000000"/>
              </a:solidFill>
            </a:rPr>
            <a:t> popular faculty for </a:t>
          </a:r>
          <a:r>
            <a:rPr lang="en-US" sz="1100" b="1">
              <a:solidFill>
                <a:sysClr val="windowText" lastClr="000000"/>
              </a:solidFill>
            </a:rPr>
            <a:t>Male</a:t>
          </a:r>
          <a:r>
            <a:rPr lang="en-US" sz="1100">
              <a:solidFill>
                <a:sysClr val="windowText" lastClr="000000"/>
              </a:solidFill>
            </a:rPr>
            <a:t> and </a:t>
          </a:r>
          <a:r>
            <a:rPr lang="en-US" sz="1100" b="1">
              <a:solidFill>
                <a:sysClr val="windowText" lastClr="000000"/>
              </a:solidFill>
            </a:rPr>
            <a:t>Female</a:t>
          </a:r>
          <a:r>
            <a:rPr lang="en-US" sz="1100">
              <a:solidFill>
                <a:sysClr val="windowText" lastClr="000000"/>
              </a:solidFill>
            </a:rPr>
            <a:t>.</a:t>
          </a:r>
        </a:p>
      </xdr:txBody>
    </xdr:sp>
    <xdr:clientData/>
  </xdr:twoCellAnchor>
  <xdr:twoCellAnchor>
    <xdr:from>
      <xdr:col>17</xdr:col>
      <xdr:colOff>38100</xdr:colOff>
      <xdr:row>21</xdr:row>
      <xdr:rowOff>187568</xdr:rowOff>
    </xdr:from>
    <xdr:to>
      <xdr:col>19</xdr:col>
      <xdr:colOff>352425</xdr:colOff>
      <xdr:row>33</xdr:row>
      <xdr:rowOff>109903</xdr:rowOff>
    </xdr:to>
    <xdr:sp macro="" textlink="">
      <xdr:nvSpPr>
        <xdr:cNvPr id="13" name="Rectangle 12">
          <a:extLst>
            <a:ext uri="{FF2B5EF4-FFF2-40B4-BE49-F238E27FC236}">
              <a16:creationId xmlns:a16="http://schemas.microsoft.com/office/drawing/2014/main" id="{168B1625-4185-477A-A7E4-C298455B3125}"/>
            </a:ext>
          </a:extLst>
        </xdr:cNvPr>
        <xdr:cNvSpPr/>
      </xdr:nvSpPr>
      <xdr:spPr>
        <a:xfrm>
          <a:off x="12103100" y="4461606"/>
          <a:ext cx="1682017" cy="2266951"/>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i="1">
              <a:solidFill>
                <a:sysClr val="windowText" lastClr="000000"/>
              </a:solidFill>
            </a:rPr>
            <a:t>Implications:</a:t>
          </a:r>
        </a:p>
        <a:p>
          <a:pPr algn="l"/>
          <a:endParaRPr lang="en-US" sz="1100">
            <a:solidFill>
              <a:sysClr val="windowText" lastClr="000000"/>
            </a:solidFill>
          </a:endParaRPr>
        </a:p>
        <a:p>
          <a:pPr algn="l"/>
          <a:r>
            <a:rPr lang="en-US" sz="1100">
              <a:solidFill>
                <a:sysClr val="windowText" lastClr="000000"/>
              </a:solidFill>
            </a:rPr>
            <a:t>1.</a:t>
          </a:r>
          <a:r>
            <a:rPr lang="en-US" sz="1100" baseline="0">
              <a:solidFill>
                <a:sysClr val="windowText" lastClr="000000"/>
              </a:solidFill>
            </a:rPr>
            <a:t> </a:t>
          </a:r>
          <a:r>
            <a:rPr lang="en-US" sz="1100" b="1" baseline="0">
              <a:solidFill>
                <a:sysClr val="windowText" lastClr="000000"/>
              </a:solidFill>
            </a:rPr>
            <a:t>Computer Science teachers </a:t>
          </a:r>
          <a:r>
            <a:rPr lang="en-US" sz="1100" baseline="0">
              <a:solidFill>
                <a:sysClr val="windowText" lastClr="000000"/>
              </a:solidFill>
            </a:rPr>
            <a:t>are recommended to </a:t>
          </a:r>
          <a:r>
            <a:rPr lang="en-US" sz="1100" b="1" baseline="0">
              <a:solidFill>
                <a:sysClr val="windowText" lastClr="000000"/>
              </a:solidFill>
            </a:rPr>
            <a:t>adjust</a:t>
          </a:r>
          <a:r>
            <a:rPr lang="en-US" sz="1100" baseline="0">
              <a:solidFill>
                <a:sysClr val="windowText" lastClr="000000"/>
              </a:solidFill>
            </a:rPr>
            <a:t> their </a:t>
          </a:r>
          <a:r>
            <a:rPr lang="en-US" sz="1100" b="1" baseline="0">
              <a:solidFill>
                <a:sysClr val="windowText" lastClr="000000"/>
              </a:solidFill>
            </a:rPr>
            <a:t>teaching practice </a:t>
          </a:r>
          <a:r>
            <a:rPr lang="en-US" sz="1100" baseline="0">
              <a:solidFill>
                <a:sysClr val="windowText" lastClr="000000"/>
              </a:solidFill>
            </a:rPr>
            <a:t>to meet students' interest.</a:t>
          </a:r>
        </a:p>
        <a:p>
          <a:pPr algn="l"/>
          <a:r>
            <a:rPr lang="en-US" sz="1100" baseline="0">
              <a:solidFill>
                <a:sysClr val="windowText" lastClr="000000"/>
              </a:solidFill>
            </a:rPr>
            <a:t>2. </a:t>
          </a:r>
          <a:r>
            <a:rPr lang="en-US" sz="1100" b="1" baseline="0">
              <a:solidFill>
                <a:sysClr val="windowText" lastClr="000000"/>
              </a:solidFill>
            </a:rPr>
            <a:t>The school</a:t>
          </a:r>
          <a:r>
            <a:rPr lang="en-US" sz="1100" baseline="0">
              <a:solidFill>
                <a:sysClr val="windowText" lastClr="000000"/>
              </a:solidFill>
            </a:rPr>
            <a:t> should </a:t>
          </a:r>
          <a:r>
            <a:rPr lang="en-US" sz="1100" b="1" baseline="0">
              <a:solidFill>
                <a:sysClr val="windowText" lastClr="000000"/>
              </a:solidFill>
            </a:rPr>
            <a:t>fulfill</a:t>
          </a:r>
          <a:r>
            <a:rPr lang="en-US" sz="1100" baseline="0">
              <a:solidFill>
                <a:sysClr val="windowText" lastClr="000000"/>
              </a:solidFill>
            </a:rPr>
            <a:t> the </a:t>
          </a:r>
          <a:r>
            <a:rPr lang="en-US" sz="1100" b="1" baseline="0">
              <a:solidFill>
                <a:sysClr val="windowText" lastClr="000000"/>
              </a:solidFill>
            </a:rPr>
            <a:t>infrastructure needs </a:t>
          </a:r>
          <a:r>
            <a:rPr lang="en-US" sz="1100" baseline="0">
              <a:solidFill>
                <a:sysClr val="windowText" lastClr="000000"/>
              </a:solidFill>
            </a:rPr>
            <a:t>to equip students with adequate preparations.</a:t>
          </a:r>
          <a:endParaRPr lang="en-US" sz="1100">
            <a:solidFill>
              <a:sysClr val="windowText" lastClr="000000"/>
            </a:solidFill>
          </a:endParaRPr>
        </a:p>
      </xdr:txBody>
    </xdr:sp>
    <xdr:clientData/>
  </xdr:twoCellAnchor>
  <xdr:twoCellAnchor editAs="oneCell">
    <xdr:from>
      <xdr:col>0</xdr:col>
      <xdr:colOff>0</xdr:colOff>
      <xdr:row>29</xdr:row>
      <xdr:rowOff>38100</xdr:rowOff>
    </xdr:from>
    <xdr:to>
      <xdr:col>1</xdr:col>
      <xdr:colOff>898280</xdr:colOff>
      <xdr:row>47</xdr:row>
      <xdr:rowOff>38100</xdr:rowOff>
    </xdr:to>
    <mc:AlternateContent xmlns:mc="http://schemas.openxmlformats.org/markup-compatibility/2006" xmlns:a14="http://schemas.microsoft.com/office/drawing/2010/main">
      <mc:Choice Requires="a14">
        <xdr:graphicFrame macro="">
          <xdr:nvGraphicFramePr>
            <xdr:cNvPr id="14" name="Fakultas">
              <a:extLst>
                <a:ext uri="{FF2B5EF4-FFF2-40B4-BE49-F238E27FC236}">
                  <a16:creationId xmlns:a16="http://schemas.microsoft.com/office/drawing/2014/main" id="{0265E284-B353-475E-A454-DFFE348A692A}"/>
                </a:ext>
              </a:extLst>
            </xdr:cNvPr>
            <xdr:cNvGraphicFramePr/>
          </xdr:nvGraphicFramePr>
          <xdr:xfrm>
            <a:off x="0" y="0"/>
            <a:ext cx="0" cy="0"/>
          </xdr:xfrm>
          <a:graphic>
            <a:graphicData uri="http://schemas.microsoft.com/office/drawing/2010/slicer">
              <sle:slicer xmlns:sle="http://schemas.microsoft.com/office/drawing/2010/slicer" name="Fakultas"/>
            </a:graphicData>
          </a:graphic>
        </xdr:graphicFrame>
      </mc:Choice>
      <mc:Fallback xmlns="">
        <xdr:sp macro="" textlink="">
          <xdr:nvSpPr>
            <xdr:cNvPr id="0" name=""/>
            <xdr:cNvSpPr>
              <a:spLocks noTextEdit="1"/>
            </xdr:cNvSpPr>
          </xdr:nvSpPr>
          <xdr:spPr>
            <a:xfrm>
              <a:off x="0" y="5875215"/>
              <a:ext cx="1704242" cy="35169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elvy Fauzan" refreshedDate="46016.669412268522" backgroundQuery="1" createdVersion="7" refreshedVersion="7" minRefreshableVersion="3" recordCount="0" supportSubquery="1" supportAdvancedDrill="1" xr:uid="{00000000-000A-0000-FFFF-FFFF1B020000}">
  <cacheSource type="external" connectionId="1"/>
  <cacheFields count="2">
    <cacheField name="[Measures].[Count of Lanjut ke Sekolah Menengah ...]" caption="Count of Lanjut ke Sekolah Menengah ..." numFmtId="0" hierarchy="9" level="32767"/>
    <cacheField name="[Range].[Lanjut ke Sekolah Menengah ...].[Lanjut ke Sekolah Menengah ...]" caption="Lanjut ke Sekolah Menengah ..." numFmtId="0" hierarchy="3" level="1">
      <sharedItems count="2">
        <s v="SMA"/>
        <s v="SMK"/>
      </sharedItems>
    </cacheField>
  </cacheFields>
  <cacheHierarchies count="12">
    <cacheHierarchy uniqueName="[Range].[Nama Lengkap]" caption="Nama Lengkap" attribute="1" defaultMemberUniqueName="[Range].[Nama Lengkap].[All]" allUniqueName="[Range].[Nama Lengkap].[All]" dimensionUniqueName="[Range]" displayFolder="" count="0" memberValueDatatype="130" unbalanced="0"/>
    <cacheHierarchy uniqueName="[Range].[Jenis Kelamin]" caption="Jenis Kelamin" attribute="1" defaultMemberUniqueName="[Range].[Jenis Kelamin].[All]" allUniqueName="[Range].[Jenis Kelamin].[All]" dimensionUniqueName="[Range]" displayFolder="" count="2" memberValueDatatype="130" unbalanced="0"/>
    <cacheHierarchy uniqueName="[Range].[Lulus dari SPENSANA  ...]" caption="Lulus dari SPENSANA  ..." attribute="1" defaultMemberUniqueName="[Range].[Lulus dari SPENSANA  ...].[All]" allUniqueName="[Range].[Lulus dari SPENSANA  ...].[All]" dimensionUniqueName="[Range]" displayFolder="" count="2" memberValueDatatype="20" unbalanced="0"/>
    <cacheHierarchy uniqueName="[Range].[Lanjut ke Sekolah Menengah ...]" caption="Lanjut ke Sekolah Menengah ..." attribute="1" defaultMemberUniqueName="[Range].[Lanjut ke Sekolah Menengah ...].[All]" allUniqueName="[Range].[Lanjut ke Sekolah Menengah ...].[All]" dimensionUniqueName="[Range]" displayFolder="" count="2" memberValueDatatype="130" unbalanced="0">
      <fieldsUsage count="2">
        <fieldUsage x="-1"/>
        <fieldUsage x="1"/>
      </fieldsUsage>
    </cacheHierarchy>
    <cacheHierarchy uniqueName="[Range].[Jurusan …]" caption="Jurusan …" attribute="1" defaultMemberUniqueName="[Range].[Jurusan …].[All]" allUniqueName="[Range].[Jurusan …].[All]" dimensionUniqueName="[Range]" displayFolder="" count="0" memberValueDatatype="130" unbalanced="0"/>
    <cacheHierarchy uniqueName="[Range].[Fakultas]" caption="Fakultas" attribute="1" defaultMemberUniqueName="[Range].[Fakultas].[All]" allUniqueName="[Range].[Fakultas].[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Jenis Kelamin]" caption="Count of Jenis Kelamin" measure="1" displayFolder="" measureGroup="Range" count="0" hidden="1">
      <extLst>
        <ext xmlns:x15="http://schemas.microsoft.com/office/spreadsheetml/2010/11/main" uri="{B97F6D7D-B522-45F9-BDA1-12C45D357490}">
          <x15:cacheHierarchy aggregatedColumn="1"/>
        </ext>
      </extLst>
    </cacheHierarchy>
    <cacheHierarchy uniqueName="[Measures].[Count of Lanjut ke Sekolah Menengah ...]" caption="Count of Lanjut ke Sekolah Menengah ..." measure="1" displayFolder="" measureGroup="Range" count="0" oneField="1" hidden="1">
      <fieldsUsage count="1">
        <fieldUsage x="0"/>
      </fieldsUsage>
      <extLst>
        <ext xmlns:x15="http://schemas.microsoft.com/office/spreadsheetml/2010/11/main" uri="{B97F6D7D-B522-45F9-BDA1-12C45D357490}">
          <x15:cacheHierarchy aggregatedColumn="3"/>
        </ext>
      </extLst>
    </cacheHierarchy>
    <cacheHierarchy uniqueName="[Measures].[Count of Jurusan …]" caption="Count of Jurusan …" measure="1" displayFolder="" measureGroup="Range" count="0" hidden="1">
      <extLst>
        <ext xmlns:x15="http://schemas.microsoft.com/office/spreadsheetml/2010/11/main" uri="{B97F6D7D-B522-45F9-BDA1-12C45D357490}">
          <x15:cacheHierarchy aggregatedColumn="4"/>
        </ext>
      </extLst>
    </cacheHierarchy>
    <cacheHierarchy uniqueName="[Measures].[Count of Fakultas]" caption="Count of Fakultas" measure="1" displayFolder="" measureGroup="Range"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elvy Fauzan" refreshedDate="46016.669412731484" backgroundQuery="1" createdVersion="7" refreshedVersion="7" minRefreshableVersion="3" recordCount="0" supportSubquery="1" supportAdvancedDrill="1" xr:uid="{00000000-000A-0000-FFFF-FFFF1E020000}">
  <cacheSource type="external" connectionId="1"/>
  <cacheFields count="3">
    <cacheField name="[Range].[Jurusan …].[Jurusan …]" caption="Jurusan …" numFmtId="0" hierarchy="4" level="1">
      <sharedItems count="26">
        <s v="Agribisnis Perikanan Air Tawar"/>
        <s v="Agribisnis Tanaman Pangan dan Hortikultura"/>
        <s v="Akuntansi"/>
        <s v="Desain Komunikasi Visual"/>
        <s v="Desain Pemodelan dan Informasi Bangunan"/>
        <s v="Farmasi"/>
        <s v="IPA"/>
        <s v="IPS"/>
        <s v="Keperawatan"/>
        <s v="Layanan Perbankan"/>
        <s v="Pemasaran"/>
        <s v="Pengembangan Perangkat Lunak dan Gim"/>
        <s v="Perhotelan"/>
        <s v="Rekayasa Perangkat Lunak"/>
        <s v="Tata Boga"/>
        <s v="Teknik Audio Video"/>
        <s v="Teknik Bisnis Sepeda Motor"/>
        <s v="Teknik Instalasi Tenaga Listrik"/>
        <s v="Teknik Kendaraan Ringan"/>
        <s v="Teknik Komputer dan Jaringan"/>
        <s v="Teknik Konstruksi dan Perumahan"/>
        <s v="Teknik Otomasi Industri"/>
        <s v="Teknik Otomotif"/>
        <s v="Teknik Pemesinan"/>
        <s v="Teknik Sepeda Motor"/>
        <s v="Usaha Layanan Pariwisata"/>
      </sharedItems>
    </cacheField>
    <cacheField name="[Measures].[Count of Jurusan …]" caption="Count of Jurusan …" numFmtId="0" hierarchy="10" level="32767"/>
    <cacheField name="[Range].[Lanjut ke Sekolah Menengah ...].[Lanjut ke Sekolah Menengah ...]" caption="Lanjut ke Sekolah Menengah ..." numFmtId="0" hierarchy="3" level="1">
      <sharedItems containsSemiMixedTypes="0" containsNonDate="0" containsString="0"/>
    </cacheField>
  </cacheFields>
  <cacheHierarchies count="12">
    <cacheHierarchy uniqueName="[Range].[Nama Lengkap]" caption="Nama Lengkap" attribute="1" defaultMemberUniqueName="[Range].[Nama Lengkap].[All]" allUniqueName="[Range].[Nama Lengkap].[All]" dimensionUniqueName="[Range]" displayFolder="" count="0" memberValueDatatype="130" unbalanced="0"/>
    <cacheHierarchy uniqueName="[Range].[Jenis Kelamin]" caption="Jenis Kelamin" attribute="1" defaultMemberUniqueName="[Range].[Jenis Kelamin].[All]" allUniqueName="[Range].[Jenis Kelamin].[All]" dimensionUniqueName="[Range]" displayFolder="" count="2" memberValueDatatype="130" unbalanced="0"/>
    <cacheHierarchy uniqueName="[Range].[Lulus dari SPENSANA  ...]" caption="Lulus dari SPENSANA  ..." attribute="1" defaultMemberUniqueName="[Range].[Lulus dari SPENSANA  ...].[All]" allUniqueName="[Range].[Lulus dari SPENSANA  ...].[All]" dimensionUniqueName="[Range]" displayFolder="" count="2" memberValueDatatype="20" unbalanced="0"/>
    <cacheHierarchy uniqueName="[Range].[Lanjut ke Sekolah Menengah ...]" caption="Lanjut ke Sekolah Menengah ..." attribute="1" defaultMemberUniqueName="[Range].[Lanjut ke Sekolah Menengah ...].[All]" allUniqueName="[Range].[Lanjut ke Sekolah Menengah ...].[All]" dimensionUniqueName="[Range]" displayFolder="" count="2" memberValueDatatype="130" unbalanced="0">
      <fieldsUsage count="2">
        <fieldUsage x="-1"/>
        <fieldUsage x="2"/>
      </fieldsUsage>
    </cacheHierarchy>
    <cacheHierarchy uniqueName="[Range].[Jurusan …]" caption="Jurusan …" attribute="1" defaultMemberUniqueName="[Range].[Jurusan …].[All]" allUniqueName="[Range].[Jurusan …].[All]" dimensionUniqueName="[Range]" displayFolder="" count="2" memberValueDatatype="130" unbalanced="0">
      <fieldsUsage count="2">
        <fieldUsage x="-1"/>
        <fieldUsage x="0"/>
      </fieldsUsage>
    </cacheHierarchy>
    <cacheHierarchy uniqueName="[Range].[Fakultas]" caption="Fakultas" attribute="1" defaultMemberUniqueName="[Range].[Fakultas].[All]" allUniqueName="[Range].[Fakultas].[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Jenis Kelamin]" caption="Count of Jenis Kelamin" measure="1" displayFolder="" measureGroup="Range" count="0" hidden="1">
      <extLst>
        <ext xmlns:x15="http://schemas.microsoft.com/office/spreadsheetml/2010/11/main" uri="{B97F6D7D-B522-45F9-BDA1-12C45D357490}">
          <x15:cacheHierarchy aggregatedColumn="1"/>
        </ext>
      </extLst>
    </cacheHierarchy>
    <cacheHierarchy uniqueName="[Measures].[Count of Lanjut ke Sekolah Menengah ...]" caption="Count of Lanjut ke Sekolah Menengah ..." measure="1" displayFolder="" measureGroup="Range" count="0" hidden="1">
      <extLst>
        <ext xmlns:x15="http://schemas.microsoft.com/office/spreadsheetml/2010/11/main" uri="{B97F6D7D-B522-45F9-BDA1-12C45D357490}">
          <x15:cacheHierarchy aggregatedColumn="3"/>
        </ext>
      </extLst>
    </cacheHierarchy>
    <cacheHierarchy uniqueName="[Measures].[Count of Jurusan …]" caption="Count of Jurusan …" measure="1" displayFolder="" measureGroup="Range" count="0" oneField="1" hidden="1">
      <fieldsUsage count="1">
        <fieldUsage x="1"/>
      </fieldsUsage>
      <extLst>
        <ext xmlns:x15="http://schemas.microsoft.com/office/spreadsheetml/2010/11/main" uri="{B97F6D7D-B522-45F9-BDA1-12C45D357490}">
          <x15:cacheHierarchy aggregatedColumn="4"/>
        </ext>
      </extLst>
    </cacheHierarchy>
    <cacheHierarchy uniqueName="[Measures].[Count of Fakultas]" caption="Count of Fakultas" measure="1" displayFolder="" measureGroup="Range"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elvy Fauzan" refreshedDate="46016.669413194446" backgroundQuery="1" createdVersion="7" refreshedVersion="7" minRefreshableVersion="3" recordCount="0" supportSubquery="1" supportAdvancedDrill="1" xr:uid="{00000000-000A-0000-FFFF-FFFF21020000}">
  <cacheSource type="external" connectionId="1"/>
  <cacheFields count="3">
    <cacheField name="[Range].[Fakultas].[Fakultas]" caption="Fakultas" numFmtId="0" hierarchy="5" level="1">
      <sharedItems count="11">
        <s v="Agrokultur"/>
        <s v="Arsitektur"/>
        <s v="Ekonomi"/>
        <s v="Elektro"/>
        <s v="Kesehatan"/>
        <s v="Komputer"/>
        <s v="Mesin"/>
        <s v="MIPA"/>
        <s v="Otomotif"/>
        <s v="Pariwisata"/>
        <s v="Soshum"/>
      </sharedItems>
    </cacheField>
    <cacheField name="[Measures].[Count of Fakultas]" caption="Count of Fakultas" numFmtId="0" hierarchy="11" level="32767"/>
    <cacheField name="[Range].[Lanjut ke Sekolah Menengah ...].[Lanjut ke Sekolah Menengah ...]" caption="Lanjut ke Sekolah Menengah ..." numFmtId="0" hierarchy="3" level="1">
      <sharedItems containsSemiMixedTypes="0" containsNonDate="0" containsString="0"/>
    </cacheField>
  </cacheFields>
  <cacheHierarchies count="12">
    <cacheHierarchy uniqueName="[Range].[Nama Lengkap]" caption="Nama Lengkap" attribute="1" defaultMemberUniqueName="[Range].[Nama Lengkap].[All]" allUniqueName="[Range].[Nama Lengkap].[All]" dimensionUniqueName="[Range]" displayFolder="" count="0" memberValueDatatype="130" unbalanced="0"/>
    <cacheHierarchy uniqueName="[Range].[Jenis Kelamin]" caption="Jenis Kelamin" attribute="1" defaultMemberUniqueName="[Range].[Jenis Kelamin].[All]" allUniqueName="[Range].[Jenis Kelamin].[All]" dimensionUniqueName="[Range]" displayFolder="" count="2" memberValueDatatype="130" unbalanced="0"/>
    <cacheHierarchy uniqueName="[Range].[Lulus dari SPENSANA  ...]" caption="Lulus dari SPENSANA  ..." attribute="1" defaultMemberUniqueName="[Range].[Lulus dari SPENSANA  ...].[All]" allUniqueName="[Range].[Lulus dari SPENSANA  ...].[All]" dimensionUniqueName="[Range]" displayFolder="" count="2" memberValueDatatype="20" unbalanced="0"/>
    <cacheHierarchy uniqueName="[Range].[Lanjut ke Sekolah Menengah ...]" caption="Lanjut ke Sekolah Menengah ..." attribute="1" defaultMemberUniqueName="[Range].[Lanjut ke Sekolah Menengah ...].[All]" allUniqueName="[Range].[Lanjut ke Sekolah Menengah ...].[All]" dimensionUniqueName="[Range]" displayFolder="" count="2" memberValueDatatype="130" unbalanced="0">
      <fieldsUsage count="2">
        <fieldUsage x="-1"/>
        <fieldUsage x="2"/>
      </fieldsUsage>
    </cacheHierarchy>
    <cacheHierarchy uniqueName="[Range].[Jurusan …]" caption="Jurusan …" attribute="1" defaultMemberUniqueName="[Range].[Jurusan …].[All]" allUniqueName="[Range].[Jurusan …].[All]" dimensionUniqueName="[Range]" displayFolder="" count="0" memberValueDatatype="130" unbalanced="0"/>
    <cacheHierarchy uniqueName="[Range].[Fakultas]" caption="Fakultas" attribute="1" defaultMemberUniqueName="[Range].[Fakultas].[All]" allUniqueName="[Range].[Fakultas].[All]" dimensionUniqueName="[Range]" displayFolder="" count="2" memberValueDatatype="130" unbalanced="0">
      <fieldsUsage count="2">
        <fieldUsage x="-1"/>
        <fieldUsage x="0"/>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Jenis Kelamin]" caption="Count of Jenis Kelamin" measure="1" displayFolder="" measureGroup="Range" count="0" hidden="1">
      <extLst>
        <ext xmlns:x15="http://schemas.microsoft.com/office/spreadsheetml/2010/11/main" uri="{B97F6D7D-B522-45F9-BDA1-12C45D357490}">
          <x15:cacheHierarchy aggregatedColumn="1"/>
        </ext>
      </extLst>
    </cacheHierarchy>
    <cacheHierarchy uniqueName="[Measures].[Count of Lanjut ke Sekolah Menengah ...]" caption="Count of Lanjut ke Sekolah Menengah ..." measure="1" displayFolder="" measureGroup="Range" count="0" hidden="1">
      <extLst>
        <ext xmlns:x15="http://schemas.microsoft.com/office/spreadsheetml/2010/11/main" uri="{B97F6D7D-B522-45F9-BDA1-12C45D357490}">
          <x15:cacheHierarchy aggregatedColumn="3"/>
        </ext>
      </extLst>
    </cacheHierarchy>
    <cacheHierarchy uniqueName="[Measures].[Count of Jurusan …]" caption="Count of Jurusan …" measure="1" displayFolder="" measureGroup="Range" count="0" hidden="1">
      <extLst>
        <ext xmlns:x15="http://schemas.microsoft.com/office/spreadsheetml/2010/11/main" uri="{B97F6D7D-B522-45F9-BDA1-12C45D357490}">
          <x15:cacheHierarchy aggregatedColumn="4"/>
        </ext>
      </extLst>
    </cacheHierarchy>
    <cacheHierarchy uniqueName="[Measures].[Count of Fakultas]" caption="Count of Fakultas" measure="1" displayFolder="" measureGroup="Range" count="0" oneField="1" hidden="1">
      <fieldsUsage count="1">
        <fieldUsage x="1"/>
      </fieldsUsage>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elvy Fauzan" refreshedDate="46016.669413657408" backgroundQuery="1" createdVersion="7" refreshedVersion="7" minRefreshableVersion="3" recordCount="0" supportSubquery="1" supportAdvancedDrill="1" xr:uid="{00000000-000A-0000-FFFF-FFFF24020000}">
  <cacheSource type="external" connectionId="1"/>
  <cacheFields count="4">
    <cacheField name="[Range].[Lulus dari SPENSANA  ...].[Lulus dari SPENSANA  ...]" caption="Lulus dari SPENSANA  ..." numFmtId="0" hierarchy="2" level="1">
      <sharedItems containsSemiMixedTypes="0" containsString="0" containsNumber="1" containsInteger="1" minValue="2022" maxValue="2025" count="4">
        <n v="2022"/>
        <n v="2023"/>
        <n v="2024"/>
        <n v="2025"/>
      </sharedItems>
      <extLst>
        <ext xmlns:x15="http://schemas.microsoft.com/office/spreadsheetml/2010/11/main" uri="{4F2E5C28-24EA-4eb8-9CBF-B6C8F9C3D259}">
          <x15:cachedUniqueNames>
            <x15:cachedUniqueName index="0" name="[Range].[Lulus dari SPENSANA  ...].&amp;[2022]"/>
            <x15:cachedUniqueName index="1" name="[Range].[Lulus dari SPENSANA  ...].&amp;[2023]"/>
            <x15:cachedUniqueName index="2" name="[Range].[Lulus dari SPENSANA  ...].&amp;[2024]"/>
            <x15:cachedUniqueName index="3" name="[Range].[Lulus dari SPENSANA  ...].&amp;[2025]"/>
          </x15:cachedUniqueNames>
        </ext>
      </extLst>
    </cacheField>
    <cacheField name="[Range].[Fakultas].[Fakultas]" caption="Fakultas" numFmtId="0" hierarchy="5" level="1">
      <sharedItems count="11">
        <s v="Ekonomi"/>
        <s v="Mesin"/>
        <s v="Elektro"/>
        <s v="Komputer"/>
        <s v="Otomotif"/>
        <s v="Soshum"/>
        <s v="Arsitektur"/>
        <s v="Kesehatan"/>
        <s v="MIPA"/>
        <s v="Agrokultur"/>
        <s v="Pariwisata"/>
      </sharedItems>
    </cacheField>
    <cacheField name="[Measures].[Count of Fakultas]" caption="Count of Fakultas" numFmtId="0" hierarchy="11" level="32767"/>
    <cacheField name="[Range].[Lanjut ke Sekolah Menengah ...].[Lanjut ke Sekolah Menengah ...]" caption="Lanjut ke Sekolah Menengah ..." numFmtId="0" hierarchy="3" level="1">
      <sharedItems containsSemiMixedTypes="0" containsNonDate="0" containsString="0"/>
    </cacheField>
  </cacheFields>
  <cacheHierarchies count="12">
    <cacheHierarchy uniqueName="[Range].[Nama Lengkap]" caption="Nama Lengkap" attribute="1" defaultMemberUniqueName="[Range].[Nama Lengkap].[All]" allUniqueName="[Range].[Nama Lengkap].[All]" dimensionUniqueName="[Range]" displayFolder="" count="0" memberValueDatatype="130" unbalanced="0"/>
    <cacheHierarchy uniqueName="[Range].[Jenis Kelamin]" caption="Jenis Kelamin" attribute="1" defaultMemberUniqueName="[Range].[Jenis Kelamin].[All]" allUniqueName="[Range].[Jenis Kelamin].[All]" dimensionUniqueName="[Range]" displayFolder="" count="2" memberValueDatatype="130" unbalanced="0"/>
    <cacheHierarchy uniqueName="[Range].[Lulus dari SPENSANA  ...]" caption="Lulus dari SPENSANA  ..." attribute="1" defaultMemberUniqueName="[Range].[Lulus dari SPENSANA  ...].[All]" allUniqueName="[Range].[Lulus dari SPENSANA  ...].[All]" dimensionUniqueName="[Range]" displayFolder="" count="2" memberValueDatatype="20" unbalanced="0">
      <fieldsUsage count="2">
        <fieldUsage x="-1"/>
        <fieldUsage x="0"/>
      </fieldsUsage>
    </cacheHierarchy>
    <cacheHierarchy uniqueName="[Range].[Lanjut ke Sekolah Menengah ...]" caption="Lanjut ke Sekolah Menengah ..." attribute="1" defaultMemberUniqueName="[Range].[Lanjut ke Sekolah Menengah ...].[All]" allUniqueName="[Range].[Lanjut ke Sekolah Menengah ...].[All]" dimensionUniqueName="[Range]" displayFolder="" count="2" memberValueDatatype="130" unbalanced="0">
      <fieldsUsage count="2">
        <fieldUsage x="-1"/>
        <fieldUsage x="3"/>
      </fieldsUsage>
    </cacheHierarchy>
    <cacheHierarchy uniqueName="[Range].[Jurusan …]" caption="Jurusan …" attribute="1" defaultMemberUniqueName="[Range].[Jurusan …].[All]" allUniqueName="[Range].[Jurusan …].[All]" dimensionUniqueName="[Range]" displayFolder="" count="0" memberValueDatatype="130" unbalanced="0"/>
    <cacheHierarchy uniqueName="[Range].[Fakultas]" caption="Fakultas" attribute="1" defaultMemberUniqueName="[Range].[Fakultas].[All]" allUniqueName="[Range].[Fakultas].[All]" dimensionUniqueName="[Range]" displayFolder="" count="2" memberValueDatatype="130" unbalanced="0">
      <fieldsUsage count="2">
        <fieldUsage x="-1"/>
        <fieldUsage x="1"/>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Jenis Kelamin]" caption="Count of Jenis Kelamin" measure="1" displayFolder="" measureGroup="Range" count="0" hidden="1">
      <extLst>
        <ext xmlns:x15="http://schemas.microsoft.com/office/spreadsheetml/2010/11/main" uri="{B97F6D7D-B522-45F9-BDA1-12C45D357490}">
          <x15:cacheHierarchy aggregatedColumn="1"/>
        </ext>
      </extLst>
    </cacheHierarchy>
    <cacheHierarchy uniqueName="[Measures].[Count of Lanjut ke Sekolah Menengah ...]" caption="Count of Lanjut ke Sekolah Menengah ..." measure="1" displayFolder="" measureGroup="Range" count="0" hidden="1">
      <extLst>
        <ext xmlns:x15="http://schemas.microsoft.com/office/spreadsheetml/2010/11/main" uri="{B97F6D7D-B522-45F9-BDA1-12C45D357490}">
          <x15:cacheHierarchy aggregatedColumn="3"/>
        </ext>
      </extLst>
    </cacheHierarchy>
    <cacheHierarchy uniqueName="[Measures].[Count of Jurusan …]" caption="Count of Jurusan …" measure="1" displayFolder="" measureGroup="Range" count="0" hidden="1">
      <extLst>
        <ext xmlns:x15="http://schemas.microsoft.com/office/spreadsheetml/2010/11/main" uri="{B97F6D7D-B522-45F9-BDA1-12C45D357490}">
          <x15:cacheHierarchy aggregatedColumn="4"/>
        </ext>
      </extLst>
    </cacheHierarchy>
    <cacheHierarchy uniqueName="[Measures].[Count of Fakultas]" caption="Count of Fakultas" measure="1" displayFolder="" measureGroup="Range" count="0" oneField="1" hidden="1">
      <fieldsUsage count="1">
        <fieldUsage x="2"/>
      </fieldsUsage>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elvy Fauzan" refreshedDate="46016.669158680554" backgroundQuery="1" createdVersion="3" refreshedVersion="7" minRefreshableVersion="3" recordCount="0" supportSubquery="1" supportAdvancedDrill="1" xr:uid="{00000000-000A-0000-FFFF-FFFF02020000}">
  <cacheSource type="external" connectionId="1">
    <extLst>
      <ext xmlns:x14="http://schemas.microsoft.com/office/spreadsheetml/2009/9/main" uri="{F057638F-6D5F-4e77-A914-E7F072B9BCA8}">
        <x14:sourceConnection name="ThisWorkbookDataModel"/>
      </ext>
    </extLst>
  </cacheSource>
  <cacheFields count="0"/>
  <cacheHierarchies count="12">
    <cacheHierarchy uniqueName="[Range].[Nama Lengkap]" caption="Nama Lengkap" attribute="1" defaultMemberUniqueName="[Range].[Nama Lengkap].[All]" allUniqueName="[Range].[Nama Lengkap].[All]" dimensionUniqueName="[Range]" displayFolder="" count="0" memberValueDatatype="130" unbalanced="0"/>
    <cacheHierarchy uniqueName="[Range].[Jenis Kelamin]" caption="Jenis Kelamin" attribute="1" defaultMemberUniqueName="[Range].[Jenis Kelamin].[All]" allUniqueName="[Range].[Jenis Kelamin].[All]" dimensionUniqueName="[Range]" displayFolder="" count="2" memberValueDatatype="130" unbalanced="0"/>
    <cacheHierarchy uniqueName="[Range].[Lulus dari SPENSANA  ...]" caption="Lulus dari SPENSANA  ..." attribute="1" defaultMemberUniqueName="[Range].[Lulus dari SPENSANA  ...].[All]" allUniqueName="[Range].[Lulus dari SPENSANA  ...].[All]" dimensionUniqueName="[Range]" displayFolder="" count="2" memberValueDatatype="20" unbalanced="0"/>
    <cacheHierarchy uniqueName="[Range].[Lanjut ke Sekolah Menengah ...]" caption="Lanjut ke Sekolah Menengah ..." attribute="1" defaultMemberUniqueName="[Range].[Lanjut ke Sekolah Menengah ...].[All]" allUniqueName="[Range].[Lanjut ke Sekolah Menengah ...].[All]" dimensionUniqueName="[Range]" displayFolder="" count="2" memberValueDatatype="130" unbalanced="0"/>
    <cacheHierarchy uniqueName="[Range].[Jurusan …]" caption="Jurusan …" attribute="1" defaultMemberUniqueName="[Range].[Jurusan …].[All]" allUniqueName="[Range].[Jurusan …].[All]" dimensionUniqueName="[Range]" displayFolder="" count="0" memberValueDatatype="130" unbalanced="0"/>
    <cacheHierarchy uniqueName="[Range].[Fakultas]" caption="Fakultas" attribute="1" defaultMemberUniqueName="[Range].[Fakultas].[All]" allUniqueName="[Range].[Fakultas].[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Jenis Kelamin]" caption="Count of Jenis Kelamin" measure="1" displayFolder="" measureGroup="Range" count="0" hidden="1">
      <extLst>
        <ext xmlns:x15="http://schemas.microsoft.com/office/spreadsheetml/2010/11/main" uri="{B97F6D7D-B522-45F9-BDA1-12C45D357490}">
          <x15:cacheHierarchy aggregatedColumn="1"/>
        </ext>
      </extLst>
    </cacheHierarchy>
    <cacheHierarchy uniqueName="[Measures].[Count of Lanjut ke Sekolah Menengah ...]" caption="Count of Lanjut ke Sekolah Menengah ..." measure="1" displayFolder="" measureGroup="Range" count="0" hidden="1">
      <extLst>
        <ext xmlns:x15="http://schemas.microsoft.com/office/spreadsheetml/2010/11/main" uri="{B97F6D7D-B522-45F9-BDA1-12C45D357490}">
          <x15:cacheHierarchy aggregatedColumn="3"/>
        </ext>
      </extLst>
    </cacheHierarchy>
    <cacheHierarchy uniqueName="[Measures].[Count of Jurusan …]" caption="Count of Jurusan …" measure="1" displayFolder="" measureGroup="Range" count="0" hidden="1">
      <extLst>
        <ext xmlns:x15="http://schemas.microsoft.com/office/spreadsheetml/2010/11/main" uri="{B97F6D7D-B522-45F9-BDA1-12C45D357490}">
          <x15:cacheHierarchy aggregatedColumn="4"/>
        </ext>
      </extLst>
    </cacheHierarchy>
    <cacheHierarchy uniqueName="[Measures].[Count of Fakultas]" caption="Count of Fakultas" measure="1" displayFolder="" measureGroup="Range"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115446445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1000000}" name="PivotTable5"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6:B43" firstHeaderRow="1" firstDataRow="1" firstDataCol="1"/>
  <pivotFields count="3">
    <pivotField axis="axisRow" allDrilled="1" subtotalTop="0" showAll="0" sortType="ascending" defaultSubtotal="0" defaultAttributeDrillState="1">
      <items count="26">
        <item x="0"/>
        <item x="1"/>
        <item x="2"/>
        <item x="3"/>
        <item x="4"/>
        <item x="5"/>
        <item x="6"/>
        <item x="7"/>
        <item x="8"/>
        <item x="9"/>
        <item x="10"/>
        <item x="11"/>
        <item x="12"/>
        <item x="13"/>
        <item x="14"/>
        <item x="15"/>
        <item x="16"/>
        <item x="17"/>
        <item x="18"/>
        <item x="19"/>
        <item x="20"/>
        <item x="21"/>
        <item x="22"/>
        <item x="23"/>
        <item x="24"/>
        <item x="2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27">
    <i>
      <x v="12"/>
    </i>
    <i>
      <x/>
    </i>
    <i>
      <x v="1"/>
    </i>
    <i>
      <x v="9"/>
    </i>
    <i>
      <x v="14"/>
    </i>
    <i>
      <x v="25"/>
    </i>
    <i>
      <x v="22"/>
    </i>
    <i>
      <x v="13"/>
    </i>
    <i>
      <x v="16"/>
    </i>
    <i>
      <x v="20"/>
    </i>
    <i>
      <x v="5"/>
    </i>
    <i>
      <x v="17"/>
    </i>
    <i>
      <x v="10"/>
    </i>
    <i>
      <x v="11"/>
    </i>
    <i>
      <x v="8"/>
    </i>
    <i>
      <x v="18"/>
    </i>
    <i>
      <x v="15"/>
    </i>
    <i>
      <x v="21"/>
    </i>
    <i>
      <x v="23"/>
    </i>
    <i>
      <x v="2"/>
    </i>
    <i>
      <x v="4"/>
    </i>
    <i>
      <x v="3"/>
    </i>
    <i>
      <x v="24"/>
    </i>
    <i>
      <x v="19"/>
    </i>
    <i>
      <x v="7"/>
    </i>
    <i>
      <x v="6"/>
    </i>
    <i t="grand">
      <x/>
    </i>
  </rowItems>
  <colItems count="1">
    <i/>
  </colItems>
  <dataFields count="1">
    <dataField name="Count of Jurusan …"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12">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A$1:$F$12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B4" firstHeaderRow="1" firstDataRow="1" firstDataCol="1"/>
  <pivotFields count="2">
    <pivotField dataField="1" subtotalTop="0" showAll="0" defaultSubtotal="0"/>
    <pivotField axis="axisRow" allDrilled="1" subtotalTop="0" showAll="0" dataSourceSort="1" defaultSubtotal="0" defaultAttributeDrillState="1">
      <items count="2">
        <item x="0"/>
        <item x="1"/>
      </items>
    </pivotField>
  </pivotFields>
  <rowFields count="1">
    <field x="1"/>
  </rowFields>
  <rowItems count="3">
    <i>
      <x/>
    </i>
    <i>
      <x v="1"/>
    </i>
    <i t="grand">
      <x/>
    </i>
  </rowItems>
  <colItems count="1">
    <i/>
  </colItems>
  <dataFields count="1">
    <dataField name="Count of Lanjut ke Sekolah Menengah ..." fld="0" subtotal="count" baseField="0" baseItem="0"/>
  </dataField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 count="1" selected="0">
            <x v="0"/>
          </reference>
        </references>
      </pivotArea>
    </chartFormat>
    <chartFormat chart="2" format="6">
      <pivotArea type="data" outline="0" fieldPosition="0">
        <references count="2">
          <reference field="4294967294" count="1" selected="0">
            <x v="0"/>
          </reference>
          <reference field="1" count="1" selected="0">
            <x v="1"/>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s>
  <pivotHierarchies count="12">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A$1:$F$12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400-000003000000}" name="PivotTable9"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65:B96" firstHeaderRow="1" firstDataRow="1" firstDataCol="1"/>
  <pivotFields count="4">
    <pivotField axis="axisRow" allDrilled="1" subtotalTop="0" showAll="0" dataSourceSort="1" defaultSubtotal="0" defaultAttributeDrillState="1">
      <items count="4">
        <item x="0"/>
        <item x="1"/>
        <item x="2"/>
        <item x="3"/>
      </items>
    </pivotField>
    <pivotField axis="axisRow" allDrilled="1" subtotalTop="0" showAll="0" sortType="ascending" defaultSubtotal="0" defaultAttributeDrillState="1">
      <items count="11">
        <item x="0"/>
        <item x="1"/>
        <item x="2"/>
        <item x="3"/>
        <item x="4"/>
        <item x="5"/>
        <item x="6"/>
        <item x="7"/>
        <item x="8"/>
        <item x="9"/>
        <item x="10"/>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2">
    <field x="0"/>
    <field x="1"/>
  </rowFields>
  <rowItems count="31">
    <i>
      <x/>
    </i>
    <i r="1">
      <x/>
    </i>
    <i r="1">
      <x v="1"/>
    </i>
    <i>
      <x v="1"/>
    </i>
    <i r="1">
      <x v="5"/>
    </i>
    <i r="1">
      <x v="2"/>
    </i>
    <i r="1">
      <x v="3"/>
    </i>
    <i r="1">
      <x v="4"/>
    </i>
    <i>
      <x v="2"/>
    </i>
    <i r="1">
      <x v="2"/>
    </i>
    <i r="1">
      <x v="6"/>
    </i>
    <i r="1">
      <x v="4"/>
    </i>
    <i r="1">
      <x v="1"/>
    </i>
    <i r="1">
      <x v="7"/>
    </i>
    <i r="1">
      <x/>
    </i>
    <i r="1">
      <x v="5"/>
    </i>
    <i r="1">
      <x v="3"/>
    </i>
    <i r="1">
      <x v="8"/>
    </i>
    <i>
      <x v="3"/>
    </i>
    <i r="1">
      <x v="7"/>
    </i>
    <i r="1">
      <x v="1"/>
    </i>
    <i r="1">
      <x v="10"/>
    </i>
    <i r="1">
      <x v="9"/>
    </i>
    <i r="1">
      <x v="2"/>
    </i>
    <i r="1">
      <x v="6"/>
    </i>
    <i r="1">
      <x/>
    </i>
    <i r="1">
      <x v="8"/>
    </i>
    <i r="1">
      <x v="4"/>
    </i>
    <i r="1">
      <x v="3"/>
    </i>
    <i r="1">
      <x v="5"/>
    </i>
    <i t="grand">
      <x/>
    </i>
  </rowItems>
  <colItems count="1">
    <i/>
  </colItems>
  <dataFields count="1">
    <dataField name="Count of Fakultas" fld="2"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12">
    <pivotHierarchy dragToData="1"/>
    <pivotHierarchy multipleItemSelectionAllowed="1" dragToData="1"/>
    <pivotHierarchy dragToData="1"/>
    <pivotHierarchy multipleItemSelectionAllowed="1"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A$1:$F$12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2000000}" name="PivotTable8"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47:B59" firstHeaderRow="1" firstDataRow="1" firstDataCol="1"/>
  <pivotFields count="3">
    <pivotField axis="axisRow" allDrilled="1" subtotalTop="0" showAll="0" sortType="ascending" defaultSubtotal="0" defaultAttributeDrillState="1">
      <items count="11">
        <item x="0"/>
        <item x="1"/>
        <item x="2"/>
        <item x="3"/>
        <item x="4"/>
        <item x="5"/>
        <item x="6"/>
        <item x="7"/>
        <item x="8"/>
        <item x="9"/>
        <item x="10"/>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2">
    <i>
      <x/>
    </i>
    <i>
      <x v="9"/>
    </i>
    <i>
      <x v="6"/>
    </i>
    <i>
      <x v="4"/>
    </i>
    <i>
      <x v="3"/>
    </i>
    <i>
      <x v="1"/>
    </i>
    <i>
      <x v="2"/>
    </i>
    <i>
      <x v="8"/>
    </i>
    <i>
      <x v="10"/>
    </i>
    <i>
      <x v="5"/>
    </i>
    <i>
      <x v="7"/>
    </i>
    <i t="grand">
      <x/>
    </i>
  </rowItems>
  <colItems count="1">
    <i/>
  </colItems>
  <dataFields count="1">
    <dataField name="Count of Fakultas"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12">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A$1:$F$12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richData/rdRichValueTypes.xml><?xml version="1.0" encoding="utf-8"?>
<rvTypesInfo xmlns="http://schemas.microsoft.com/office/spreadsheetml/2017/richdata2">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8</v>
    <v>122</v>
    <v>1</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enis_Kelamin" xr10:uid="{00000000-0013-0000-FFFF-FFFF01000000}" sourceName="[Range].[Jenis Kelamin]">
  <pivotTables>
    <pivotTable tabId="5" name="PivotTable1"/>
    <pivotTable tabId="5" name="PivotTable5"/>
    <pivotTable tabId="5" name="PivotTable8"/>
    <pivotTable tabId="5" name="PivotTable9"/>
  </pivotTables>
  <data>
    <olap pivotCacheId="1154464458">
      <levels count="2">
        <level uniqueName="[Range].[Jenis Kelamin].[(All)]" sourceCaption="(All)" count="0"/>
        <level uniqueName="[Range].[Jenis Kelamin].[Jenis Kelamin]" sourceCaption="Jenis Kelamin" count="2">
          <ranges>
            <range startItem="0">
              <i n="[Range].[Jenis Kelamin].&amp;[Laki-laki]" c="Laki-laki"/>
              <i n="[Range].[Jenis Kelamin].&amp;[Perempuan]" c="Perempuan"/>
            </range>
          </ranges>
        </level>
      </levels>
      <selections count="1">
        <selection n="[Range].[Jenis Kelami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ulus_dari_SPENSANA__..." xr10:uid="{00000000-0013-0000-FFFF-FFFF02000000}" sourceName="[Range].[Lulus dari SPENSANA  ...]">
  <pivotTables>
    <pivotTable tabId="5" name="PivotTable1"/>
    <pivotTable tabId="5" name="PivotTable5"/>
    <pivotTable tabId="5" name="PivotTable8"/>
  </pivotTables>
  <data>
    <olap pivotCacheId="1154464458">
      <levels count="2">
        <level uniqueName="[Range].[Lulus dari SPENSANA  ...].[(All)]" sourceCaption="(All)" count="0"/>
        <level uniqueName="[Range].[Lulus dari SPENSANA  ...].[Lulus dari SPENSANA  ...]" sourceCaption="Lulus dari SPENSANA  ..." count="4">
          <ranges>
            <range startItem="0">
              <i n="[Range].[Lulus dari SPENSANA  ...].&amp;[2022]" c="2022"/>
              <i n="[Range].[Lulus dari SPENSANA  ...].&amp;[2023]" c="2023"/>
              <i n="[Range].[Lulus dari SPENSANA  ...].&amp;[2024]" c="2024"/>
              <i n="[Range].[Lulus dari SPENSANA  ...].&amp;[2025]" c="2025"/>
            </range>
          </ranges>
        </level>
      </levels>
      <selections count="1">
        <selection n="[Range].[Lulus dari SPENSANA  ...].[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anjut_ke_Sekolah_Menengah_..." xr10:uid="{00000000-0013-0000-FFFF-FFFF03000000}" sourceName="[Range].[Lanjut ke Sekolah Menengah ...]">
  <pivotTables>
    <pivotTable tabId="5" name="PivotTable1"/>
    <pivotTable tabId="5" name="PivotTable5"/>
    <pivotTable tabId="5" name="PivotTable8"/>
    <pivotTable tabId="5" name="PivotTable9"/>
  </pivotTables>
  <data>
    <olap pivotCacheId="1154464458">
      <levels count="2">
        <level uniqueName="[Range].[Lanjut ke Sekolah Menengah ...].[(All)]" sourceCaption="(All)" count="0"/>
        <level uniqueName="[Range].[Lanjut ke Sekolah Menengah ...].[Lanjut ke Sekolah Menengah ...]" sourceCaption="Lanjut ke Sekolah Menengah ..." count="2">
          <ranges>
            <range startItem="0">
              <i n="[Range].[Lanjut ke Sekolah Menengah ...].&amp;[SMA]" c="SMA"/>
              <i n="[Range].[Lanjut ke Sekolah Menengah ...].&amp;[SMK]" c="SMK"/>
            </range>
          </ranges>
        </level>
      </levels>
      <selections count="1">
        <selection n="[Range].[Lanjut ke Sekolah Menengah ...].[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kultas" xr10:uid="{00000000-0013-0000-FFFF-FFFF04000000}" sourceName="[Range].[Fakultas]">
  <pivotTables>
    <pivotTable tabId="5" name="PivotTable1"/>
    <pivotTable tabId="5" name="PivotTable5"/>
    <pivotTable tabId="5" name="PivotTable8"/>
    <pivotTable tabId="5" name="PivotTable9"/>
  </pivotTables>
  <data>
    <olap pivotCacheId="1154464458">
      <levels count="2">
        <level uniqueName="[Range].[Fakultas].[(All)]" sourceCaption="(All)" count="0"/>
        <level uniqueName="[Range].[Fakultas].[Fakultas]" sourceCaption="Fakultas" count="11">
          <ranges>
            <range startItem="0">
              <i n="[Range].[Fakultas].&amp;[Agrokultur]" c="Agrokultur"/>
              <i n="[Range].[Fakultas].&amp;[Arsitektur]" c="Arsitektur"/>
              <i n="[Range].[Fakultas].&amp;[Ekonomi]" c="Ekonomi"/>
              <i n="[Range].[Fakultas].&amp;[Elektro]" c="Elektro"/>
              <i n="[Range].[Fakultas].&amp;[Kesehatan]" c="Kesehatan"/>
              <i n="[Range].[Fakultas].&amp;[Komputer]" c="Komputer"/>
              <i n="[Range].[Fakultas].&amp;[Mesin]" c="Mesin"/>
              <i n="[Range].[Fakultas].&amp;[MIPA]" c="MIPA"/>
              <i n="[Range].[Fakultas].&amp;[Otomotif]" c="Otomotif"/>
              <i n="[Range].[Fakultas].&amp;[Pariwisata]" c="Pariwisata"/>
              <i n="[Range].[Fakultas].&amp;[Soshum]" c="Soshum"/>
            </range>
          </ranges>
        </level>
      </levels>
      <selections count="1">
        <selection n="[Range].[Fakulta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enis Kelamin" xr10:uid="{00000000-0014-0000-FFFF-FFFF01000000}" cache="Slicer_Jenis_Kelamin" caption="Jenis Kelamin" level="1" rowHeight="257175"/>
  <slicer name="Lulus dari SPENSANA  ..." xr10:uid="{00000000-0014-0000-FFFF-FFFF02000000}" cache="Slicer_Lulus_dari_SPENSANA__..." caption="Lulus dari SPENSANA  ..." level="1" rowHeight="257175"/>
  <slicer name="Lanjut ke Sekolah Menengah ..." xr10:uid="{00000000-0014-0000-FFFF-FFFF03000000}" cache="Slicer_Lanjut_ke_Sekolah_Menengah_..." caption="Lanjut ke Sekolah Menengah ..." level="1" rowHeight="257175"/>
  <slicer name="Fakultas" xr10:uid="{00000000-0014-0000-FFFF-FFFF04000000}" cache="Slicer_Fakultas" caption="Fakultas" level="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22"/>
  <sheetViews>
    <sheetView workbookViewId="0">
      <selection activeCell="D107" sqref="D107"/>
    </sheetView>
  </sheetViews>
  <sheetFormatPr defaultRowHeight="15.75" x14ac:dyDescent="0.25"/>
  <sheetData>
    <row r="1" spans="1:6" x14ac:dyDescent="0.25">
      <c r="A1" t="s">
        <v>0</v>
      </c>
      <c r="B1" t="s">
        <v>1</v>
      </c>
      <c r="C1" t="s">
        <v>2</v>
      </c>
      <c r="D1" t="s">
        <v>3</v>
      </c>
      <c r="E1" t="s">
        <v>4</v>
      </c>
      <c r="F1" t="s">
        <v>5</v>
      </c>
    </row>
    <row r="2" spans="1:6" x14ac:dyDescent="0.25">
      <c r="A2" t="s">
        <v>6</v>
      </c>
      <c r="B2" t="s">
        <v>7</v>
      </c>
      <c r="C2" t="s">
        <v>8</v>
      </c>
      <c r="D2">
        <v>2025</v>
      </c>
      <c r="E2" t="s">
        <v>9</v>
      </c>
      <c r="F2" t="s">
        <v>10</v>
      </c>
    </row>
    <row r="3" spans="1:6" x14ac:dyDescent="0.25">
      <c r="A3" t="s">
        <v>11</v>
      </c>
      <c r="B3" t="s">
        <v>12</v>
      </c>
      <c r="C3" t="s">
        <v>8</v>
      </c>
      <c r="D3" t="s">
        <v>13</v>
      </c>
      <c r="E3" t="s">
        <v>14</v>
      </c>
      <c r="F3" t="s">
        <v>15</v>
      </c>
    </row>
    <row r="4" spans="1:6" x14ac:dyDescent="0.25">
      <c r="A4" t="s">
        <v>16</v>
      </c>
      <c r="B4" t="s">
        <v>17</v>
      </c>
      <c r="C4" t="s">
        <v>8</v>
      </c>
      <c r="D4">
        <v>2025</v>
      </c>
      <c r="E4" t="s">
        <v>9</v>
      </c>
      <c r="F4" t="s">
        <v>18</v>
      </c>
    </row>
    <row r="5" spans="1:6" x14ac:dyDescent="0.25">
      <c r="A5" t="s">
        <v>19</v>
      </c>
      <c r="B5" t="s">
        <v>20</v>
      </c>
      <c r="C5" t="s">
        <v>8</v>
      </c>
      <c r="D5" t="s">
        <v>13</v>
      </c>
      <c r="E5" t="s">
        <v>9</v>
      </c>
      <c r="F5" t="s">
        <v>21</v>
      </c>
    </row>
    <row r="6" spans="1:6" x14ac:dyDescent="0.25">
      <c r="A6" t="s">
        <v>22</v>
      </c>
      <c r="B6" t="s">
        <v>23</v>
      </c>
      <c r="C6" t="s">
        <v>24</v>
      </c>
      <c r="D6">
        <v>2025</v>
      </c>
      <c r="E6" t="s">
        <v>9</v>
      </c>
      <c r="F6" t="s">
        <v>25</v>
      </c>
    </row>
    <row r="7" spans="1:6" x14ac:dyDescent="0.25">
      <c r="A7" t="s">
        <v>26</v>
      </c>
      <c r="B7" t="s">
        <v>27</v>
      </c>
      <c r="C7" t="s">
        <v>24</v>
      </c>
      <c r="D7">
        <v>2025</v>
      </c>
      <c r="E7" t="s">
        <v>9</v>
      </c>
      <c r="F7" t="s">
        <v>28</v>
      </c>
    </row>
    <row r="8" spans="1:6" x14ac:dyDescent="0.25">
      <c r="A8" t="s">
        <v>29</v>
      </c>
      <c r="B8" t="s">
        <v>30</v>
      </c>
      <c r="C8" t="s">
        <v>8</v>
      </c>
      <c r="D8">
        <v>2025</v>
      </c>
      <c r="E8" t="s">
        <v>9</v>
      </c>
      <c r="F8" t="s">
        <v>31</v>
      </c>
    </row>
    <row r="9" spans="1:6" x14ac:dyDescent="0.25">
      <c r="A9" t="s">
        <v>32</v>
      </c>
      <c r="B9" t="s">
        <v>33</v>
      </c>
      <c r="C9" t="s">
        <v>24</v>
      </c>
      <c r="D9">
        <v>2025</v>
      </c>
      <c r="E9" t="s">
        <v>9</v>
      </c>
      <c r="F9" t="s">
        <v>34</v>
      </c>
    </row>
    <row r="10" spans="1:6" x14ac:dyDescent="0.25">
      <c r="A10" t="s">
        <v>35</v>
      </c>
      <c r="B10" t="s">
        <v>36</v>
      </c>
      <c r="C10" t="s">
        <v>24</v>
      </c>
      <c r="D10">
        <v>2025</v>
      </c>
      <c r="E10" t="s">
        <v>9</v>
      </c>
      <c r="F10" t="s">
        <v>37</v>
      </c>
    </row>
    <row r="11" spans="1:6" x14ac:dyDescent="0.25">
      <c r="A11" t="s">
        <v>38</v>
      </c>
      <c r="B11" t="s">
        <v>39</v>
      </c>
      <c r="C11" t="s">
        <v>24</v>
      </c>
      <c r="D11">
        <v>2025</v>
      </c>
      <c r="E11" t="s">
        <v>9</v>
      </c>
      <c r="F11" t="s">
        <v>40</v>
      </c>
    </row>
    <row r="12" spans="1:6" x14ac:dyDescent="0.25">
      <c r="A12" t="s">
        <v>41</v>
      </c>
      <c r="B12" t="s">
        <v>42</v>
      </c>
      <c r="C12" t="s">
        <v>24</v>
      </c>
      <c r="D12">
        <v>2025</v>
      </c>
      <c r="E12" t="s">
        <v>14</v>
      </c>
      <c r="F12" t="s">
        <v>43</v>
      </c>
    </row>
    <row r="13" spans="1:6" x14ac:dyDescent="0.25">
      <c r="A13" t="s">
        <v>44</v>
      </c>
      <c r="B13" t="s">
        <v>45</v>
      </c>
      <c r="C13" t="s">
        <v>8</v>
      </c>
      <c r="D13">
        <v>2025</v>
      </c>
      <c r="E13" t="s">
        <v>9</v>
      </c>
      <c r="F13" t="s">
        <v>46</v>
      </c>
    </row>
    <row r="14" spans="1:6" x14ac:dyDescent="0.25">
      <c r="A14" t="s">
        <v>47</v>
      </c>
      <c r="B14" t="s">
        <v>48</v>
      </c>
      <c r="C14" t="s">
        <v>24</v>
      </c>
      <c r="D14">
        <v>2025</v>
      </c>
      <c r="E14" t="s">
        <v>14</v>
      </c>
      <c r="F14" t="s">
        <v>49</v>
      </c>
    </row>
    <row r="15" spans="1:6" x14ac:dyDescent="0.25">
      <c r="A15" t="s">
        <v>50</v>
      </c>
      <c r="B15" t="s">
        <v>51</v>
      </c>
      <c r="C15" t="s">
        <v>8</v>
      </c>
      <c r="D15">
        <v>2025</v>
      </c>
      <c r="E15" t="s">
        <v>9</v>
      </c>
      <c r="F15" t="s">
        <v>52</v>
      </c>
    </row>
    <row r="16" spans="1:6" x14ac:dyDescent="0.25">
      <c r="A16" t="s">
        <v>53</v>
      </c>
      <c r="B16" t="s">
        <v>54</v>
      </c>
      <c r="C16" t="s">
        <v>24</v>
      </c>
      <c r="D16">
        <v>2025</v>
      </c>
      <c r="E16" t="s">
        <v>9</v>
      </c>
      <c r="F16" t="s">
        <v>55</v>
      </c>
    </row>
    <row r="17" spans="1:6" x14ac:dyDescent="0.25">
      <c r="A17" t="s">
        <v>56</v>
      </c>
      <c r="B17" t="s">
        <v>57</v>
      </c>
      <c r="C17" t="s">
        <v>24</v>
      </c>
      <c r="D17">
        <v>2025</v>
      </c>
      <c r="E17" t="s">
        <v>9</v>
      </c>
      <c r="F17" t="s">
        <v>46</v>
      </c>
    </row>
    <row r="18" spans="1:6" x14ac:dyDescent="0.25">
      <c r="A18" t="s">
        <v>58</v>
      </c>
      <c r="B18" t="s">
        <v>59</v>
      </c>
      <c r="C18" t="s">
        <v>8</v>
      </c>
      <c r="D18">
        <v>2025</v>
      </c>
      <c r="E18" t="s">
        <v>9</v>
      </c>
      <c r="F18" t="s">
        <v>60</v>
      </c>
    </row>
    <row r="19" spans="1:6" x14ac:dyDescent="0.25">
      <c r="A19" t="s">
        <v>61</v>
      </c>
      <c r="B19" t="s">
        <v>62</v>
      </c>
      <c r="C19" t="s">
        <v>24</v>
      </c>
      <c r="D19">
        <v>2025</v>
      </c>
      <c r="E19" t="s">
        <v>9</v>
      </c>
      <c r="F19" t="s">
        <v>63</v>
      </c>
    </row>
    <row r="20" spans="1:6" x14ac:dyDescent="0.25">
      <c r="A20" t="s">
        <v>64</v>
      </c>
      <c r="B20" t="s">
        <v>65</v>
      </c>
      <c r="C20" t="s">
        <v>24</v>
      </c>
      <c r="D20" t="s">
        <v>13</v>
      </c>
      <c r="E20" t="s">
        <v>9</v>
      </c>
      <c r="F20" t="s">
        <v>66</v>
      </c>
    </row>
    <row r="21" spans="1:6" x14ac:dyDescent="0.25">
      <c r="A21" t="s">
        <v>67</v>
      </c>
      <c r="B21" t="s">
        <v>68</v>
      </c>
      <c r="C21" t="s">
        <v>24</v>
      </c>
      <c r="D21">
        <v>2025</v>
      </c>
      <c r="E21" t="s">
        <v>9</v>
      </c>
      <c r="F21" t="s">
        <v>69</v>
      </c>
    </row>
    <row r="22" spans="1:6" x14ac:dyDescent="0.25">
      <c r="A22" t="s">
        <v>70</v>
      </c>
      <c r="B22" t="s">
        <v>71</v>
      </c>
      <c r="C22" t="s">
        <v>8</v>
      </c>
      <c r="D22">
        <v>2025</v>
      </c>
      <c r="E22" t="s">
        <v>9</v>
      </c>
      <c r="F22" t="s">
        <v>72</v>
      </c>
    </row>
    <row r="23" spans="1:6" x14ac:dyDescent="0.25">
      <c r="A23" t="s">
        <v>73</v>
      </c>
      <c r="B23" t="s">
        <v>74</v>
      </c>
      <c r="C23" t="s">
        <v>24</v>
      </c>
      <c r="D23">
        <v>2025</v>
      </c>
      <c r="E23" t="s">
        <v>9</v>
      </c>
      <c r="F23" t="s">
        <v>75</v>
      </c>
    </row>
    <row r="24" spans="1:6" x14ac:dyDescent="0.25">
      <c r="A24" t="s">
        <v>76</v>
      </c>
      <c r="B24" t="s">
        <v>77</v>
      </c>
      <c r="C24" t="s">
        <v>24</v>
      </c>
      <c r="D24">
        <v>2025</v>
      </c>
      <c r="E24" t="s">
        <v>14</v>
      </c>
      <c r="F24" t="s">
        <v>15</v>
      </c>
    </row>
    <row r="25" spans="1:6" x14ac:dyDescent="0.25">
      <c r="A25" t="s">
        <v>78</v>
      </c>
      <c r="B25" t="s">
        <v>79</v>
      </c>
      <c r="C25" t="s">
        <v>8</v>
      </c>
      <c r="D25">
        <v>2025</v>
      </c>
      <c r="E25" t="s">
        <v>9</v>
      </c>
      <c r="F25" t="s">
        <v>80</v>
      </c>
    </row>
    <row r="26" spans="1:6" x14ac:dyDescent="0.25">
      <c r="A26" t="s">
        <v>81</v>
      </c>
      <c r="B26" t="s">
        <v>82</v>
      </c>
      <c r="C26" t="s">
        <v>24</v>
      </c>
      <c r="D26">
        <v>2025</v>
      </c>
      <c r="E26" t="s">
        <v>9</v>
      </c>
      <c r="F26" t="s">
        <v>83</v>
      </c>
    </row>
    <row r="27" spans="1:6" x14ac:dyDescent="0.25">
      <c r="A27" t="s">
        <v>84</v>
      </c>
      <c r="B27" t="s">
        <v>85</v>
      </c>
      <c r="C27" t="s">
        <v>8</v>
      </c>
      <c r="D27">
        <v>2025</v>
      </c>
      <c r="E27" t="s">
        <v>9</v>
      </c>
      <c r="F27" t="s">
        <v>86</v>
      </c>
    </row>
    <row r="28" spans="1:6" x14ac:dyDescent="0.25">
      <c r="A28" t="s">
        <v>87</v>
      </c>
      <c r="B28" t="s">
        <v>88</v>
      </c>
      <c r="C28" t="s">
        <v>8</v>
      </c>
      <c r="D28">
        <v>2025</v>
      </c>
      <c r="E28" t="s">
        <v>9</v>
      </c>
      <c r="F28" t="s">
        <v>89</v>
      </c>
    </row>
    <row r="29" spans="1:6" x14ac:dyDescent="0.25">
      <c r="A29" t="s">
        <v>90</v>
      </c>
      <c r="B29" t="s">
        <v>91</v>
      </c>
      <c r="C29" t="s">
        <v>8</v>
      </c>
      <c r="D29">
        <v>2022</v>
      </c>
      <c r="E29" t="s">
        <v>9</v>
      </c>
      <c r="F29" t="s">
        <v>92</v>
      </c>
    </row>
    <row r="30" spans="1:6" x14ac:dyDescent="0.25">
      <c r="A30" t="s">
        <v>93</v>
      </c>
      <c r="B30" t="s">
        <v>94</v>
      </c>
      <c r="C30" t="s">
        <v>8</v>
      </c>
      <c r="D30">
        <v>2025</v>
      </c>
      <c r="E30" t="s">
        <v>14</v>
      </c>
      <c r="F30" t="s">
        <v>15</v>
      </c>
    </row>
    <row r="31" spans="1:6" x14ac:dyDescent="0.25">
      <c r="A31" t="s">
        <v>95</v>
      </c>
      <c r="B31" t="s">
        <v>96</v>
      </c>
      <c r="C31" t="s">
        <v>8</v>
      </c>
      <c r="D31">
        <v>2025</v>
      </c>
      <c r="E31" t="s">
        <v>9</v>
      </c>
      <c r="F31" t="s">
        <v>97</v>
      </c>
    </row>
    <row r="32" spans="1:6" x14ac:dyDescent="0.25">
      <c r="A32" t="s">
        <v>98</v>
      </c>
      <c r="B32" t="s">
        <v>99</v>
      </c>
      <c r="C32" t="s">
        <v>8</v>
      </c>
      <c r="D32">
        <v>2025</v>
      </c>
      <c r="E32" t="s">
        <v>9</v>
      </c>
      <c r="F32" t="s">
        <v>100</v>
      </c>
    </row>
    <row r="33" spans="1:6" x14ac:dyDescent="0.25">
      <c r="A33" t="s">
        <v>101</v>
      </c>
      <c r="B33" t="s">
        <v>102</v>
      </c>
      <c r="C33" t="s">
        <v>8</v>
      </c>
      <c r="D33">
        <v>2024</v>
      </c>
      <c r="E33" t="s">
        <v>103</v>
      </c>
      <c r="F33" t="s">
        <v>49</v>
      </c>
    </row>
    <row r="34" spans="1:6" x14ac:dyDescent="0.25">
      <c r="A34" t="s">
        <v>104</v>
      </c>
      <c r="B34" t="s">
        <v>105</v>
      </c>
      <c r="C34" t="s">
        <v>8</v>
      </c>
      <c r="D34">
        <v>2024</v>
      </c>
      <c r="E34" t="s">
        <v>9</v>
      </c>
      <c r="F34" t="s">
        <v>106</v>
      </c>
    </row>
    <row r="35" spans="1:6" x14ac:dyDescent="0.25">
      <c r="A35" t="s">
        <v>107</v>
      </c>
      <c r="B35" t="s">
        <v>108</v>
      </c>
      <c r="C35" t="s">
        <v>8</v>
      </c>
      <c r="D35">
        <v>2025</v>
      </c>
      <c r="E35" t="s">
        <v>9</v>
      </c>
      <c r="F35" t="s">
        <v>100</v>
      </c>
    </row>
    <row r="36" spans="1:6" x14ac:dyDescent="0.25">
      <c r="A36" t="s">
        <v>109</v>
      </c>
      <c r="B36" t="s">
        <v>110</v>
      </c>
      <c r="C36" t="s">
        <v>8</v>
      </c>
      <c r="D36">
        <v>2024</v>
      </c>
      <c r="E36" t="s">
        <v>9</v>
      </c>
      <c r="F36" t="s">
        <v>40</v>
      </c>
    </row>
    <row r="37" spans="1:6" x14ac:dyDescent="0.25">
      <c r="A37" t="s">
        <v>111</v>
      </c>
      <c r="B37" t="s">
        <v>112</v>
      </c>
      <c r="C37" t="s">
        <v>8</v>
      </c>
      <c r="D37">
        <v>2023</v>
      </c>
      <c r="E37" t="s">
        <v>9</v>
      </c>
      <c r="F37" t="s">
        <v>113</v>
      </c>
    </row>
    <row r="38" spans="1:6" x14ac:dyDescent="0.25">
      <c r="A38" t="s">
        <v>114</v>
      </c>
      <c r="B38" t="s">
        <v>115</v>
      </c>
      <c r="C38" t="s">
        <v>8</v>
      </c>
      <c r="D38">
        <v>2024</v>
      </c>
      <c r="E38" t="s">
        <v>9</v>
      </c>
      <c r="F38" t="s">
        <v>116</v>
      </c>
    </row>
    <row r="39" spans="1:6" x14ac:dyDescent="0.25">
      <c r="A39" t="s">
        <v>117</v>
      </c>
      <c r="B39" t="s">
        <v>118</v>
      </c>
      <c r="C39" t="s">
        <v>8</v>
      </c>
      <c r="D39">
        <v>2025</v>
      </c>
      <c r="E39" t="s">
        <v>9</v>
      </c>
      <c r="F39" t="s">
        <v>119</v>
      </c>
    </row>
    <row r="40" spans="1:6" x14ac:dyDescent="0.25">
      <c r="A40" t="s">
        <v>120</v>
      </c>
      <c r="B40" t="s">
        <v>121</v>
      </c>
      <c r="C40" t="s">
        <v>8</v>
      </c>
      <c r="D40">
        <v>2025</v>
      </c>
      <c r="E40" t="s">
        <v>14</v>
      </c>
      <c r="F40" t="s">
        <v>49</v>
      </c>
    </row>
    <row r="41" spans="1:6" x14ac:dyDescent="0.25">
      <c r="A41" t="s">
        <v>122</v>
      </c>
      <c r="B41" t="s">
        <v>123</v>
      </c>
      <c r="C41" t="s">
        <v>24</v>
      </c>
      <c r="D41">
        <v>2025</v>
      </c>
      <c r="E41" t="s">
        <v>14</v>
      </c>
      <c r="F41" t="s">
        <v>49</v>
      </c>
    </row>
    <row r="42" spans="1:6" x14ac:dyDescent="0.25">
      <c r="A42" t="s">
        <v>124</v>
      </c>
      <c r="B42" t="s">
        <v>125</v>
      </c>
      <c r="C42" t="s">
        <v>24</v>
      </c>
      <c r="D42" t="s">
        <v>126</v>
      </c>
      <c r="E42" t="s">
        <v>14</v>
      </c>
      <c r="F42" t="s">
        <v>127</v>
      </c>
    </row>
    <row r="43" spans="1:6" x14ac:dyDescent="0.25">
      <c r="A43" t="s">
        <v>128</v>
      </c>
      <c r="B43" t="s">
        <v>129</v>
      </c>
      <c r="C43" t="s">
        <v>24</v>
      </c>
      <c r="D43">
        <v>2024</v>
      </c>
      <c r="E43" t="s">
        <v>9</v>
      </c>
      <c r="F43" t="s">
        <v>130</v>
      </c>
    </row>
    <row r="44" spans="1:6" x14ac:dyDescent="0.25">
      <c r="A44" t="s">
        <v>131</v>
      </c>
      <c r="B44" t="s">
        <v>132</v>
      </c>
      <c r="C44" t="s">
        <v>24</v>
      </c>
      <c r="D44">
        <v>2025</v>
      </c>
      <c r="E44" t="s">
        <v>9</v>
      </c>
      <c r="F44" t="s">
        <v>133</v>
      </c>
    </row>
    <row r="45" spans="1:6" x14ac:dyDescent="0.25">
      <c r="A45" t="s">
        <v>134</v>
      </c>
      <c r="B45" t="s">
        <v>135</v>
      </c>
      <c r="C45" t="s">
        <v>24</v>
      </c>
      <c r="D45">
        <v>2024</v>
      </c>
      <c r="E45" t="s">
        <v>14</v>
      </c>
      <c r="F45" t="s">
        <v>15</v>
      </c>
    </row>
    <row r="46" spans="1:6" x14ac:dyDescent="0.25">
      <c r="A46" t="s">
        <v>136</v>
      </c>
      <c r="B46" t="s">
        <v>137</v>
      </c>
      <c r="C46" t="s">
        <v>8</v>
      </c>
      <c r="D46">
        <v>2024</v>
      </c>
      <c r="E46" t="s">
        <v>14</v>
      </c>
      <c r="F46" t="s">
        <v>15</v>
      </c>
    </row>
    <row r="47" spans="1:6" x14ac:dyDescent="0.25">
      <c r="A47" t="s">
        <v>138</v>
      </c>
      <c r="B47" t="s">
        <v>139</v>
      </c>
      <c r="C47" t="s">
        <v>8</v>
      </c>
      <c r="D47">
        <v>2023</v>
      </c>
      <c r="E47" t="s">
        <v>9</v>
      </c>
      <c r="F47" t="s">
        <v>140</v>
      </c>
    </row>
    <row r="48" spans="1:6" x14ac:dyDescent="0.25">
      <c r="A48" t="s">
        <v>141</v>
      </c>
      <c r="B48" t="s">
        <v>142</v>
      </c>
      <c r="C48" t="s">
        <v>8</v>
      </c>
      <c r="D48">
        <v>2025</v>
      </c>
      <c r="E48" t="s">
        <v>9</v>
      </c>
      <c r="F48" t="s">
        <v>143</v>
      </c>
    </row>
    <row r="49" spans="1:6" x14ac:dyDescent="0.25">
      <c r="A49" t="s">
        <v>144</v>
      </c>
      <c r="B49" t="s">
        <v>145</v>
      </c>
      <c r="C49" t="s">
        <v>24</v>
      </c>
      <c r="D49">
        <v>2024</v>
      </c>
      <c r="E49" t="s">
        <v>9</v>
      </c>
      <c r="F49" t="s">
        <v>146</v>
      </c>
    </row>
    <row r="50" spans="1:6" x14ac:dyDescent="0.25">
      <c r="A50" t="s">
        <v>147</v>
      </c>
      <c r="B50" t="s">
        <v>148</v>
      </c>
      <c r="C50" t="s">
        <v>8</v>
      </c>
      <c r="D50">
        <v>2024</v>
      </c>
      <c r="E50" t="s">
        <v>9</v>
      </c>
      <c r="F50" t="s">
        <v>149</v>
      </c>
    </row>
    <row r="51" spans="1:6" x14ac:dyDescent="0.25">
      <c r="A51" t="s">
        <v>150</v>
      </c>
      <c r="B51" t="s">
        <v>151</v>
      </c>
      <c r="C51" t="s">
        <v>24</v>
      </c>
      <c r="D51">
        <v>2025</v>
      </c>
      <c r="E51" t="s">
        <v>9</v>
      </c>
      <c r="F51" t="s">
        <v>152</v>
      </c>
    </row>
    <row r="52" spans="1:6" x14ac:dyDescent="0.25">
      <c r="A52" t="s">
        <v>153</v>
      </c>
      <c r="B52" t="s">
        <v>154</v>
      </c>
      <c r="C52" t="s">
        <v>24</v>
      </c>
      <c r="D52">
        <v>2024</v>
      </c>
      <c r="E52" t="s">
        <v>14</v>
      </c>
      <c r="F52" t="s">
        <v>49</v>
      </c>
    </row>
    <row r="53" spans="1:6" x14ac:dyDescent="0.25">
      <c r="A53" t="s">
        <v>155</v>
      </c>
      <c r="B53" t="s">
        <v>156</v>
      </c>
      <c r="C53" t="s">
        <v>24</v>
      </c>
      <c r="D53">
        <v>2025</v>
      </c>
      <c r="E53" t="s">
        <v>9</v>
      </c>
      <c r="F53" t="s">
        <v>157</v>
      </c>
    </row>
    <row r="54" spans="1:6" x14ac:dyDescent="0.25">
      <c r="A54" t="s">
        <v>158</v>
      </c>
      <c r="B54" t="s">
        <v>159</v>
      </c>
      <c r="C54" t="s">
        <v>24</v>
      </c>
      <c r="D54">
        <v>2024</v>
      </c>
      <c r="E54" t="s">
        <v>9</v>
      </c>
      <c r="F54" t="s">
        <v>37</v>
      </c>
    </row>
    <row r="55" spans="1:6" x14ac:dyDescent="0.25">
      <c r="A55" t="s">
        <v>160</v>
      </c>
      <c r="B55" t="s">
        <v>161</v>
      </c>
      <c r="C55" t="s">
        <v>24</v>
      </c>
      <c r="D55">
        <v>2025</v>
      </c>
      <c r="E55" t="s">
        <v>9</v>
      </c>
      <c r="F55" t="s">
        <v>162</v>
      </c>
    </row>
    <row r="56" spans="1:6" x14ac:dyDescent="0.25">
      <c r="A56" t="s">
        <v>163</v>
      </c>
      <c r="B56" t="s">
        <v>164</v>
      </c>
      <c r="C56" t="s">
        <v>24</v>
      </c>
      <c r="D56">
        <v>2024</v>
      </c>
      <c r="E56" t="s">
        <v>14</v>
      </c>
      <c r="F56" t="s">
        <v>165</v>
      </c>
    </row>
    <row r="57" spans="1:6" x14ac:dyDescent="0.25">
      <c r="A57" t="s">
        <v>166</v>
      </c>
      <c r="B57" t="s">
        <v>167</v>
      </c>
      <c r="C57" t="s">
        <v>24</v>
      </c>
      <c r="D57" t="s">
        <v>168</v>
      </c>
      <c r="E57" t="s">
        <v>9</v>
      </c>
      <c r="F57" t="s">
        <v>169</v>
      </c>
    </row>
    <row r="58" spans="1:6" x14ac:dyDescent="0.25">
      <c r="A58" t="s">
        <v>170</v>
      </c>
      <c r="B58" t="s">
        <v>171</v>
      </c>
      <c r="C58" t="s">
        <v>8</v>
      </c>
      <c r="D58">
        <v>2025</v>
      </c>
      <c r="E58" t="s">
        <v>9</v>
      </c>
      <c r="F58" t="s">
        <v>172</v>
      </c>
    </row>
    <row r="59" spans="1:6" x14ac:dyDescent="0.25">
      <c r="A59" t="s">
        <v>173</v>
      </c>
      <c r="B59" t="s">
        <v>174</v>
      </c>
      <c r="C59" t="s">
        <v>8</v>
      </c>
      <c r="D59">
        <v>2025</v>
      </c>
      <c r="E59" t="s">
        <v>9</v>
      </c>
      <c r="F59" t="s">
        <v>175</v>
      </c>
    </row>
    <row r="60" spans="1:6" x14ac:dyDescent="0.25">
      <c r="A60" t="s">
        <v>176</v>
      </c>
      <c r="B60" t="s">
        <v>177</v>
      </c>
      <c r="C60" t="s">
        <v>24</v>
      </c>
      <c r="D60">
        <v>2024</v>
      </c>
      <c r="E60" t="s">
        <v>14</v>
      </c>
      <c r="F60" t="s">
        <v>15</v>
      </c>
    </row>
    <row r="61" spans="1:6" x14ac:dyDescent="0.25">
      <c r="A61" t="s">
        <v>178</v>
      </c>
      <c r="B61" t="s">
        <v>179</v>
      </c>
      <c r="C61" t="s">
        <v>8</v>
      </c>
      <c r="D61">
        <v>2025</v>
      </c>
      <c r="E61" t="s">
        <v>14</v>
      </c>
      <c r="F61" t="s">
        <v>15</v>
      </c>
    </row>
    <row r="62" spans="1:6" x14ac:dyDescent="0.25">
      <c r="A62" t="s">
        <v>180</v>
      </c>
      <c r="B62" t="s">
        <v>181</v>
      </c>
      <c r="C62" t="s">
        <v>24</v>
      </c>
      <c r="D62">
        <v>2025</v>
      </c>
      <c r="E62" t="s">
        <v>14</v>
      </c>
      <c r="F62" t="s">
        <v>15</v>
      </c>
    </row>
    <row r="63" spans="1:6" x14ac:dyDescent="0.25">
      <c r="A63" t="s">
        <v>182</v>
      </c>
      <c r="B63" t="s">
        <v>183</v>
      </c>
      <c r="C63" t="s">
        <v>24</v>
      </c>
      <c r="D63" t="s">
        <v>184</v>
      </c>
      <c r="E63" t="s">
        <v>14</v>
      </c>
      <c r="F63" t="s">
        <v>185</v>
      </c>
    </row>
    <row r="64" spans="1:6" x14ac:dyDescent="0.25">
      <c r="A64" t="s">
        <v>186</v>
      </c>
      <c r="B64" t="s">
        <v>187</v>
      </c>
      <c r="C64" t="s">
        <v>24</v>
      </c>
      <c r="D64">
        <v>2024</v>
      </c>
      <c r="E64" t="s">
        <v>14</v>
      </c>
      <c r="F64" t="s">
        <v>188</v>
      </c>
    </row>
    <row r="65" spans="1:6" x14ac:dyDescent="0.25">
      <c r="A65" t="s">
        <v>189</v>
      </c>
      <c r="B65" t="s">
        <v>190</v>
      </c>
      <c r="C65" t="s">
        <v>8</v>
      </c>
      <c r="D65">
        <v>2025</v>
      </c>
      <c r="E65" t="s">
        <v>14</v>
      </c>
      <c r="F65" t="s">
        <v>49</v>
      </c>
    </row>
    <row r="66" spans="1:6" x14ac:dyDescent="0.25">
      <c r="A66" t="s">
        <v>191</v>
      </c>
      <c r="B66" t="s">
        <v>192</v>
      </c>
      <c r="C66" t="s">
        <v>24</v>
      </c>
      <c r="D66">
        <v>2025</v>
      </c>
      <c r="E66" t="s">
        <v>14</v>
      </c>
      <c r="F66" t="s">
        <v>49</v>
      </c>
    </row>
    <row r="67" spans="1:6" x14ac:dyDescent="0.25">
      <c r="A67" t="s">
        <v>193</v>
      </c>
      <c r="B67" t="s">
        <v>194</v>
      </c>
      <c r="C67" t="s">
        <v>24</v>
      </c>
      <c r="D67" t="s">
        <v>195</v>
      </c>
      <c r="E67" t="s">
        <v>14</v>
      </c>
      <c r="F67" t="s">
        <v>196</v>
      </c>
    </row>
    <row r="68" spans="1:6" x14ac:dyDescent="0.25">
      <c r="A68" t="s">
        <v>197</v>
      </c>
      <c r="B68" t="s">
        <v>198</v>
      </c>
      <c r="C68" t="s">
        <v>8</v>
      </c>
      <c r="D68">
        <v>2025</v>
      </c>
      <c r="E68" t="s">
        <v>9</v>
      </c>
      <c r="F68" t="s">
        <v>199</v>
      </c>
    </row>
    <row r="69" spans="1:6" x14ac:dyDescent="0.25">
      <c r="A69" t="s">
        <v>200</v>
      </c>
      <c r="B69" t="s">
        <v>201</v>
      </c>
      <c r="C69" t="s">
        <v>24</v>
      </c>
      <c r="D69">
        <v>2025</v>
      </c>
      <c r="E69" t="s">
        <v>14</v>
      </c>
      <c r="F69" t="s">
        <v>15</v>
      </c>
    </row>
    <row r="70" spans="1:6" x14ac:dyDescent="0.25">
      <c r="A70" t="s">
        <v>202</v>
      </c>
      <c r="B70" t="s">
        <v>203</v>
      </c>
      <c r="C70" t="s">
        <v>8</v>
      </c>
      <c r="D70">
        <v>2024</v>
      </c>
      <c r="E70" t="s">
        <v>9</v>
      </c>
      <c r="F70" t="s">
        <v>204</v>
      </c>
    </row>
    <row r="71" spans="1:6" x14ac:dyDescent="0.25">
      <c r="A71" t="s">
        <v>205</v>
      </c>
      <c r="B71" t="s">
        <v>206</v>
      </c>
      <c r="C71" t="s">
        <v>24</v>
      </c>
      <c r="D71">
        <v>2025</v>
      </c>
      <c r="E71" t="s">
        <v>9</v>
      </c>
      <c r="F71" t="s">
        <v>207</v>
      </c>
    </row>
    <row r="72" spans="1:6" x14ac:dyDescent="0.25">
      <c r="A72" t="s">
        <v>208</v>
      </c>
      <c r="B72" t="s">
        <v>209</v>
      </c>
      <c r="C72" t="s">
        <v>8</v>
      </c>
      <c r="D72">
        <v>2025</v>
      </c>
      <c r="E72" t="s">
        <v>9</v>
      </c>
      <c r="F72" t="s">
        <v>100</v>
      </c>
    </row>
    <row r="73" spans="1:6" x14ac:dyDescent="0.25">
      <c r="A73" t="s">
        <v>210</v>
      </c>
      <c r="B73" t="s">
        <v>211</v>
      </c>
      <c r="C73" t="s">
        <v>24</v>
      </c>
      <c r="D73">
        <v>2025</v>
      </c>
      <c r="E73" t="s">
        <v>14</v>
      </c>
      <c r="F73" t="s">
        <v>15</v>
      </c>
    </row>
    <row r="74" spans="1:6" x14ac:dyDescent="0.25">
      <c r="A74" t="s">
        <v>212</v>
      </c>
      <c r="B74" t="s">
        <v>213</v>
      </c>
      <c r="C74" t="s">
        <v>8</v>
      </c>
      <c r="D74">
        <v>2023</v>
      </c>
      <c r="E74" t="s">
        <v>9</v>
      </c>
      <c r="F74" t="s">
        <v>140</v>
      </c>
    </row>
    <row r="75" spans="1:6" x14ac:dyDescent="0.25">
      <c r="A75" t="s">
        <v>214</v>
      </c>
      <c r="B75" t="s">
        <v>215</v>
      </c>
      <c r="C75" t="s">
        <v>24</v>
      </c>
      <c r="D75">
        <v>2024</v>
      </c>
      <c r="E75" t="s">
        <v>14</v>
      </c>
      <c r="F75" t="s">
        <v>49</v>
      </c>
    </row>
    <row r="76" spans="1:6" x14ac:dyDescent="0.25">
      <c r="A76" t="s">
        <v>216</v>
      </c>
      <c r="B76" t="s">
        <v>217</v>
      </c>
      <c r="C76" t="s">
        <v>24</v>
      </c>
      <c r="D76">
        <v>2023</v>
      </c>
      <c r="E76" t="s">
        <v>9</v>
      </c>
      <c r="F76" t="s">
        <v>31</v>
      </c>
    </row>
    <row r="77" spans="1:6" x14ac:dyDescent="0.25">
      <c r="A77" t="s">
        <v>218</v>
      </c>
      <c r="B77" t="s">
        <v>219</v>
      </c>
      <c r="C77" t="s">
        <v>24</v>
      </c>
      <c r="D77">
        <v>2024</v>
      </c>
      <c r="E77" t="s">
        <v>9</v>
      </c>
      <c r="F77" t="s">
        <v>220</v>
      </c>
    </row>
    <row r="78" spans="1:6" x14ac:dyDescent="0.25">
      <c r="A78" t="s">
        <v>221</v>
      </c>
      <c r="B78" t="s">
        <v>222</v>
      </c>
      <c r="C78" t="s">
        <v>24</v>
      </c>
      <c r="D78">
        <v>2023</v>
      </c>
      <c r="E78" t="s">
        <v>14</v>
      </c>
      <c r="F78" t="s">
        <v>43</v>
      </c>
    </row>
    <row r="79" spans="1:6" x14ac:dyDescent="0.25">
      <c r="A79" t="s">
        <v>223</v>
      </c>
      <c r="B79" t="s">
        <v>224</v>
      </c>
      <c r="C79" t="s">
        <v>24</v>
      </c>
      <c r="D79">
        <v>2024</v>
      </c>
      <c r="E79" t="s">
        <v>14</v>
      </c>
      <c r="F79" t="s">
        <v>49</v>
      </c>
    </row>
    <row r="80" spans="1:6" x14ac:dyDescent="0.25">
      <c r="A80" t="s">
        <v>225</v>
      </c>
      <c r="B80" t="s">
        <v>226</v>
      </c>
      <c r="C80" t="s">
        <v>24</v>
      </c>
      <c r="D80">
        <v>2024</v>
      </c>
      <c r="E80" t="s">
        <v>9</v>
      </c>
      <c r="F80" t="s">
        <v>227</v>
      </c>
    </row>
    <row r="81" spans="1:6" x14ac:dyDescent="0.25">
      <c r="A81" t="s">
        <v>228</v>
      </c>
      <c r="B81" t="s">
        <v>229</v>
      </c>
      <c r="C81" t="s">
        <v>24</v>
      </c>
      <c r="D81" t="s">
        <v>230</v>
      </c>
      <c r="E81" t="s">
        <v>14</v>
      </c>
      <c r="F81" t="s">
        <v>49</v>
      </c>
    </row>
    <row r="82" spans="1:6" x14ac:dyDescent="0.25">
      <c r="A82" t="s">
        <v>231</v>
      </c>
      <c r="B82" t="s">
        <v>232</v>
      </c>
      <c r="C82" t="s">
        <v>24</v>
      </c>
      <c r="D82">
        <v>2024</v>
      </c>
      <c r="E82" t="s">
        <v>14</v>
      </c>
      <c r="F82" t="s">
        <v>49</v>
      </c>
    </row>
    <row r="83" spans="1:6" x14ac:dyDescent="0.25">
      <c r="A83" t="s">
        <v>233</v>
      </c>
      <c r="B83" t="s">
        <v>234</v>
      </c>
      <c r="C83" t="s">
        <v>8</v>
      </c>
      <c r="D83">
        <v>2024</v>
      </c>
      <c r="E83" t="s">
        <v>9</v>
      </c>
      <c r="F83" t="s">
        <v>31</v>
      </c>
    </row>
    <row r="84" spans="1:6" x14ac:dyDescent="0.25">
      <c r="A84" t="s">
        <v>235</v>
      </c>
      <c r="B84" t="s">
        <v>236</v>
      </c>
      <c r="C84" t="s">
        <v>24</v>
      </c>
      <c r="D84" t="s">
        <v>13</v>
      </c>
      <c r="E84" t="s">
        <v>14</v>
      </c>
      <c r="F84" t="s">
        <v>49</v>
      </c>
    </row>
    <row r="85" spans="1:6" x14ac:dyDescent="0.25">
      <c r="A85" t="s">
        <v>237</v>
      </c>
      <c r="B85" t="s">
        <v>238</v>
      </c>
      <c r="C85" t="s">
        <v>24</v>
      </c>
      <c r="D85">
        <v>2024</v>
      </c>
      <c r="E85" t="s">
        <v>14</v>
      </c>
      <c r="F85" t="s">
        <v>49</v>
      </c>
    </row>
    <row r="86" spans="1:6" x14ac:dyDescent="0.25">
      <c r="A86" t="s">
        <v>239</v>
      </c>
      <c r="B86" t="s">
        <v>240</v>
      </c>
      <c r="C86" t="s">
        <v>24</v>
      </c>
      <c r="D86">
        <v>2024</v>
      </c>
      <c r="E86" t="s">
        <v>9</v>
      </c>
      <c r="F86" t="s">
        <v>241</v>
      </c>
    </row>
    <row r="87" spans="1:6" x14ac:dyDescent="0.25">
      <c r="A87" t="s">
        <v>242</v>
      </c>
      <c r="B87" t="s">
        <v>243</v>
      </c>
      <c r="C87" t="s">
        <v>24</v>
      </c>
      <c r="D87">
        <v>2024</v>
      </c>
      <c r="E87" t="s">
        <v>14</v>
      </c>
      <c r="F87" t="s">
        <v>49</v>
      </c>
    </row>
    <row r="88" spans="1:6" x14ac:dyDescent="0.25">
      <c r="A88" t="s">
        <v>244</v>
      </c>
      <c r="B88" t="s">
        <v>245</v>
      </c>
      <c r="C88" t="s">
        <v>24</v>
      </c>
      <c r="D88">
        <v>2024</v>
      </c>
      <c r="E88" t="s">
        <v>9</v>
      </c>
      <c r="F88" t="s">
        <v>146</v>
      </c>
    </row>
    <row r="89" spans="1:6" x14ac:dyDescent="0.25">
      <c r="A89" t="s">
        <v>246</v>
      </c>
      <c r="B89" t="s">
        <v>247</v>
      </c>
      <c r="C89" t="s">
        <v>24</v>
      </c>
      <c r="D89">
        <v>2024</v>
      </c>
      <c r="E89" t="s">
        <v>14</v>
      </c>
      <c r="F89" t="s">
        <v>49</v>
      </c>
    </row>
    <row r="90" spans="1:6" x14ac:dyDescent="0.25">
      <c r="A90" t="s">
        <v>248</v>
      </c>
      <c r="B90" t="s">
        <v>249</v>
      </c>
      <c r="C90" t="s">
        <v>8</v>
      </c>
      <c r="D90">
        <v>2024</v>
      </c>
      <c r="E90" t="s">
        <v>9</v>
      </c>
      <c r="F90" t="s">
        <v>250</v>
      </c>
    </row>
    <row r="91" spans="1:6" x14ac:dyDescent="0.25">
      <c r="A91" t="s">
        <v>251</v>
      </c>
      <c r="B91" t="s">
        <v>252</v>
      </c>
      <c r="C91" t="s">
        <v>24</v>
      </c>
      <c r="D91">
        <v>2024</v>
      </c>
      <c r="E91" t="s">
        <v>14</v>
      </c>
      <c r="F91" t="s">
        <v>49</v>
      </c>
    </row>
    <row r="92" spans="1:6" x14ac:dyDescent="0.25">
      <c r="A92" t="s">
        <v>253</v>
      </c>
      <c r="B92" t="s">
        <v>254</v>
      </c>
      <c r="C92" t="s">
        <v>8</v>
      </c>
      <c r="D92">
        <v>2022</v>
      </c>
      <c r="E92" t="s">
        <v>9</v>
      </c>
      <c r="F92" t="s">
        <v>116</v>
      </c>
    </row>
    <row r="93" spans="1:6" x14ac:dyDescent="0.25">
      <c r="A93" t="s">
        <v>255</v>
      </c>
      <c r="B93" t="s">
        <v>256</v>
      </c>
      <c r="C93" t="s">
        <v>8</v>
      </c>
      <c r="D93">
        <v>2024</v>
      </c>
      <c r="E93" t="s">
        <v>9</v>
      </c>
      <c r="F93" t="s">
        <v>37</v>
      </c>
    </row>
    <row r="94" spans="1:6" x14ac:dyDescent="0.25">
      <c r="A94" t="s">
        <v>257</v>
      </c>
      <c r="B94" t="s">
        <v>258</v>
      </c>
      <c r="C94" t="s">
        <v>24</v>
      </c>
      <c r="D94">
        <v>2024</v>
      </c>
      <c r="E94" t="s">
        <v>9</v>
      </c>
      <c r="F94" t="s">
        <v>259</v>
      </c>
    </row>
    <row r="95" spans="1:6" x14ac:dyDescent="0.25">
      <c r="A95" t="s">
        <v>260</v>
      </c>
      <c r="B95" t="s">
        <v>261</v>
      </c>
      <c r="C95" t="s">
        <v>8</v>
      </c>
      <c r="D95">
        <v>2024</v>
      </c>
      <c r="E95" t="s">
        <v>9</v>
      </c>
      <c r="F95" t="s">
        <v>262</v>
      </c>
    </row>
    <row r="96" spans="1:6" x14ac:dyDescent="0.25">
      <c r="A96" t="s">
        <v>263</v>
      </c>
      <c r="B96" t="s">
        <v>264</v>
      </c>
      <c r="C96" t="s">
        <v>8</v>
      </c>
      <c r="D96">
        <v>2024</v>
      </c>
      <c r="E96" t="s">
        <v>14</v>
      </c>
      <c r="F96" t="s">
        <v>49</v>
      </c>
    </row>
    <row r="97" spans="1:6" x14ac:dyDescent="0.25">
      <c r="A97" t="s">
        <v>265</v>
      </c>
      <c r="B97" t="s">
        <v>266</v>
      </c>
      <c r="C97" t="s">
        <v>24</v>
      </c>
      <c r="D97">
        <v>2024</v>
      </c>
      <c r="E97" t="s">
        <v>14</v>
      </c>
      <c r="F97" t="s">
        <v>15</v>
      </c>
    </row>
    <row r="98" spans="1:6" x14ac:dyDescent="0.25">
      <c r="A98" t="s">
        <v>267</v>
      </c>
      <c r="B98" t="s">
        <v>268</v>
      </c>
      <c r="C98" t="s">
        <v>8</v>
      </c>
      <c r="D98">
        <v>2024</v>
      </c>
      <c r="E98" t="s">
        <v>9</v>
      </c>
      <c r="F98" t="s">
        <v>52</v>
      </c>
    </row>
    <row r="99" spans="1:6" x14ac:dyDescent="0.25">
      <c r="A99" t="s">
        <v>269</v>
      </c>
      <c r="B99" t="s">
        <v>270</v>
      </c>
      <c r="C99" t="s">
        <v>8</v>
      </c>
      <c r="D99">
        <v>2024</v>
      </c>
      <c r="E99" t="s">
        <v>9</v>
      </c>
      <c r="F99" t="s">
        <v>271</v>
      </c>
    </row>
    <row r="100" spans="1:6" x14ac:dyDescent="0.25">
      <c r="A100" t="s">
        <v>272</v>
      </c>
      <c r="B100" t="s">
        <v>273</v>
      </c>
      <c r="C100" t="s">
        <v>24</v>
      </c>
      <c r="D100">
        <v>2024</v>
      </c>
      <c r="E100" t="s">
        <v>9</v>
      </c>
      <c r="F100" t="s">
        <v>274</v>
      </c>
    </row>
    <row r="101" spans="1:6" x14ac:dyDescent="0.25">
      <c r="A101" t="s">
        <v>275</v>
      </c>
      <c r="B101" t="s">
        <v>276</v>
      </c>
      <c r="C101" t="s">
        <v>8</v>
      </c>
      <c r="D101">
        <v>2023</v>
      </c>
      <c r="E101" t="s">
        <v>9</v>
      </c>
      <c r="F101" t="s">
        <v>199</v>
      </c>
    </row>
    <row r="102" spans="1:6" x14ac:dyDescent="0.25">
      <c r="A102" t="s">
        <v>277</v>
      </c>
      <c r="B102" t="s">
        <v>278</v>
      </c>
      <c r="C102" t="s">
        <v>8</v>
      </c>
      <c r="D102">
        <v>2023</v>
      </c>
      <c r="E102" t="s">
        <v>9</v>
      </c>
      <c r="F102" t="s">
        <v>279</v>
      </c>
    </row>
    <row r="103" spans="1:6" x14ac:dyDescent="0.25">
      <c r="A103" t="s">
        <v>280</v>
      </c>
      <c r="B103" t="s">
        <v>281</v>
      </c>
      <c r="C103" t="s">
        <v>24</v>
      </c>
      <c r="D103">
        <v>2024</v>
      </c>
      <c r="E103" t="s">
        <v>14</v>
      </c>
      <c r="F103" t="s">
        <v>49</v>
      </c>
    </row>
    <row r="104" spans="1:6" x14ac:dyDescent="0.25">
      <c r="A104" t="s">
        <v>282</v>
      </c>
      <c r="B104" t="s">
        <v>283</v>
      </c>
      <c r="C104" t="s">
        <v>24</v>
      </c>
      <c r="D104">
        <v>2025</v>
      </c>
      <c r="E104" t="s">
        <v>9</v>
      </c>
      <c r="F104" t="s">
        <v>284</v>
      </c>
    </row>
    <row r="105" spans="1:6" x14ac:dyDescent="0.25">
      <c r="A105" t="s">
        <v>285</v>
      </c>
      <c r="B105" t="s">
        <v>286</v>
      </c>
      <c r="C105" t="s">
        <v>24</v>
      </c>
      <c r="D105">
        <v>2024</v>
      </c>
      <c r="E105" t="s">
        <v>9</v>
      </c>
      <c r="F105" t="s">
        <v>287</v>
      </c>
    </row>
    <row r="106" spans="1:6" x14ac:dyDescent="0.25">
      <c r="A106" t="s">
        <v>288</v>
      </c>
      <c r="B106" t="s">
        <v>289</v>
      </c>
      <c r="C106" t="s">
        <v>24</v>
      </c>
      <c r="D106">
        <v>2024</v>
      </c>
      <c r="E106" t="s">
        <v>9</v>
      </c>
      <c r="F106" t="s">
        <v>290</v>
      </c>
    </row>
    <row r="107" spans="1:6" x14ac:dyDescent="0.25">
      <c r="A107" t="s">
        <v>291</v>
      </c>
      <c r="B107" t="s">
        <v>292</v>
      </c>
      <c r="C107" t="s">
        <v>24</v>
      </c>
      <c r="D107">
        <v>2024</v>
      </c>
      <c r="E107" t="s">
        <v>14</v>
      </c>
      <c r="F107" t="s">
        <v>49</v>
      </c>
    </row>
    <row r="108" spans="1:6" x14ac:dyDescent="0.25">
      <c r="A108" t="s">
        <v>293</v>
      </c>
      <c r="B108" t="s">
        <v>294</v>
      </c>
      <c r="C108" t="s">
        <v>24</v>
      </c>
      <c r="D108" t="s">
        <v>295</v>
      </c>
      <c r="E108" t="s">
        <v>9</v>
      </c>
      <c r="F108" t="s">
        <v>296</v>
      </c>
    </row>
    <row r="109" spans="1:6" x14ac:dyDescent="0.25">
      <c r="A109" t="s">
        <v>297</v>
      </c>
      <c r="B109" t="s">
        <v>298</v>
      </c>
      <c r="C109" t="s">
        <v>24</v>
      </c>
      <c r="D109">
        <v>2025</v>
      </c>
      <c r="E109" t="s">
        <v>9</v>
      </c>
      <c r="F109" t="s">
        <v>299</v>
      </c>
    </row>
    <row r="110" spans="1:6" x14ac:dyDescent="0.25">
      <c r="A110" t="s">
        <v>300</v>
      </c>
      <c r="B110" t="s">
        <v>301</v>
      </c>
      <c r="C110" t="s">
        <v>24</v>
      </c>
      <c r="D110">
        <v>2025</v>
      </c>
      <c r="E110" t="s">
        <v>9</v>
      </c>
      <c r="F110" t="s">
        <v>302</v>
      </c>
    </row>
    <row r="111" spans="1:6" x14ac:dyDescent="0.25">
      <c r="A111" t="s">
        <v>303</v>
      </c>
      <c r="B111" t="s">
        <v>304</v>
      </c>
      <c r="C111" t="s">
        <v>8</v>
      </c>
      <c r="D111">
        <v>2024</v>
      </c>
      <c r="E111" t="s">
        <v>14</v>
      </c>
      <c r="F111" t="s">
        <v>43</v>
      </c>
    </row>
    <row r="112" spans="1:6" x14ac:dyDescent="0.25">
      <c r="A112" t="s">
        <v>305</v>
      </c>
      <c r="B112" t="s">
        <v>306</v>
      </c>
      <c r="C112" t="s">
        <v>24</v>
      </c>
      <c r="D112">
        <v>2024</v>
      </c>
      <c r="E112" t="s">
        <v>14</v>
      </c>
      <c r="F112" t="s">
        <v>15</v>
      </c>
    </row>
    <row r="113" spans="1:6" x14ac:dyDescent="0.25">
      <c r="A113" t="s">
        <v>307</v>
      </c>
      <c r="B113" t="s">
        <v>308</v>
      </c>
      <c r="C113" t="s">
        <v>8</v>
      </c>
      <c r="D113">
        <v>2024</v>
      </c>
      <c r="E113" t="s">
        <v>9</v>
      </c>
      <c r="F113" t="s">
        <v>309</v>
      </c>
    </row>
    <row r="114" spans="1:6" x14ac:dyDescent="0.25">
      <c r="A114" t="s">
        <v>310</v>
      </c>
      <c r="B114" t="s">
        <v>311</v>
      </c>
      <c r="C114" t="s">
        <v>24</v>
      </c>
      <c r="D114">
        <v>2024</v>
      </c>
      <c r="E114" t="s">
        <v>14</v>
      </c>
      <c r="F114" t="s">
        <v>49</v>
      </c>
    </row>
    <row r="115" spans="1:6" x14ac:dyDescent="0.25">
      <c r="A115" t="s">
        <v>312</v>
      </c>
      <c r="B115" t="s">
        <v>313</v>
      </c>
      <c r="C115" t="s">
        <v>24</v>
      </c>
      <c r="D115">
        <v>20223</v>
      </c>
      <c r="E115" t="s">
        <v>9</v>
      </c>
      <c r="F115" t="s">
        <v>314</v>
      </c>
    </row>
    <row r="116" spans="1:6" x14ac:dyDescent="0.25">
      <c r="A116" t="s">
        <v>315</v>
      </c>
      <c r="B116" t="s">
        <v>316</v>
      </c>
      <c r="C116" t="s">
        <v>24</v>
      </c>
      <c r="D116">
        <v>2024</v>
      </c>
      <c r="E116" t="s">
        <v>14</v>
      </c>
      <c r="F116" t="s">
        <v>49</v>
      </c>
    </row>
    <row r="117" spans="1:6" x14ac:dyDescent="0.25">
      <c r="A117" t="s">
        <v>317</v>
      </c>
      <c r="B117" t="s">
        <v>318</v>
      </c>
      <c r="C117" t="s">
        <v>8</v>
      </c>
      <c r="D117">
        <v>2025</v>
      </c>
      <c r="E117" t="s">
        <v>9</v>
      </c>
      <c r="F117" t="s">
        <v>319</v>
      </c>
    </row>
    <row r="118" spans="1:6" x14ac:dyDescent="0.25">
      <c r="A118" t="s">
        <v>320</v>
      </c>
      <c r="B118" t="s">
        <v>321</v>
      </c>
      <c r="C118" t="s">
        <v>24</v>
      </c>
      <c r="D118">
        <v>2025</v>
      </c>
      <c r="E118" t="s">
        <v>9</v>
      </c>
      <c r="F118" t="s">
        <v>18</v>
      </c>
    </row>
    <row r="119" spans="1:6" x14ac:dyDescent="0.25">
      <c r="A119" t="s">
        <v>322</v>
      </c>
      <c r="B119" t="s">
        <v>323</v>
      </c>
      <c r="C119" t="s">
        <v>24</v>
      </c>
      <c r="D119">
        <v>2024</v>
      </c>
      <c r="E119" t="s">
        <v>14</v>
      </c>
      <c r="F119" t="s">
        <v>43</v>
      </c>
    </row>
    <row r="120" spans="1:6" x14ac:dyDescent="0.25">
      <c r="A120" t="s">
        <v>324</v>
      </c>
      <c r="B120" t="s">
        <v>325</v>
      </c>
      <c r="C120" t="s">
        <v>24</v>
      </c>
      <c r="D120">
        <v>2025</v>
      </c>
      <c r="E120" t="s">
        <v>14</v>
      </c>
      <c r="F120" t="s">
        <v>15</v>
      </c>
    </row>
    <row r="121" spans="1:6" x14ac:dyDescent="0.25">
      <c r="A121" t="s">
        <v>326</v>
      </c>
      <c r="B121" t="s">
        <v>327</v>
      </c>
      <c r="C121" t="s">
        <v>24</v>
      </c>
      <c r="D121">
        <v>2025</v>
      </c>
      <c r="E121" t="s">
        <v>14</v>
      </c>
      <c r="F121" t="s">
        <v>15</v>
      </c>
    </row>
    <row r="122" spans="1:6" x14ac:dyDescent="0.25">
      <c r="A122" t="s">
        <v>328</v>
      </c>
      <c r="B122" t="s">
        <v>329</v>
      </c>
      <c r="C122" t="s">
        <v>24</v>
      </c>
      <c r="D122">
        <v>2025</v>
      </c>
      <c r="E122" t="s">
        <v>14</v>
      </c>
      <c r="F122" t="s">
        <v>15</v>
      </c>
    </row>
  </sheetData>
  <sheetProtection algorithmName="SHA-512" hashValue="lBhuwY/ICQnYq8oIMy1dksyHpZqAY2EPUYXPRkmQAh9YRDsJm1v9OG7J5jw+BUueKwHBx5Ku++9KIYAA5R/aJQ==" saltValue="OFhAW8siRsPtTdmPDv78OQ==" spinCount="100000" sheet="1" objects="1" scenarios="1" selectLockedCell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22"/>
  <sheetViews>
    <sheetView topLeftCell="B1" workbookViewId="0">
      <selection activeCell="G18" sqref="G18"/>
    </sheetView>
  </sheetViews>
  <sheetFormatPr defaultRowHeight="15.75" x14ac:dyDescent="0.25"/>
  <cols>
    <col min="1" max="1" width="17.125" bestFit="1" customWidth="1"/>
    <col min="2" max="2" width="13" bestFit="1" customWidth="1"/>
    <col min="3" max="3" width="11.875" bestFit="1" customWidth="1"/>
    <col min="4" max="4" width="20.5" bestFit="1" customWidth="1"/>
    <col min="5" max="5" width="26.625" bestFit="1" customWidth="1"/>
    <col min="6" max="6" width="69.125" bestFit="1" customWidth="1"/>
  </cols>
  <sheetData>
    <row r="1" spans="1:8" x14ac:dyDescent="0.25">
      <c r="A1" t="s">
        <v>0</v>
      </c>
      <c r="B1" t="s">
        <v>1</v>
      </c>
      <c r="C1" t="s">
        <v>2</v>
      </c>
      <c r="D1" t="s">
        <v>3</v>
      </c>
      <c r="E1" t="s">
        <v>4</v>
      </c>
      <c r="F1" t="s">
        <v>5</v>
      </c>
      <c r="H1" s="2" t="s">
        <v>332</v>
      </c>
    </row>
    <row r="2" spans="1:8" x14ac:dyDescent="0.25">
      <c r="A2" t="s">
        <v>6</v>
      </c>
      <c r="B2" t="s">
        <v>7</v>
      </c>
      <c r="C2" t="s">
        <v>8</v>
      </c>
      <c r="D2">
        <v>2025</v>
      </c>
      <c r="E2" t="s">
        <v>9</v>
      </c>
      <c r="F2" t="s">
        <v>10</v>
      </c>
      <c r="H2" s="2" t="s">
        <v>330</v>
      </c>
    </row>
    <row r="3" spans="1:8" x14ac:dyDescent="0.25">
      <c r="A3" t="s">
        <v>11</v>
      </c>
      <c r="B3" t="s">
        <v>12</v>
      </c>
      <c r="C3" t="s">
        <v>8</v>
      </c>
      <c r="D3" t="s">
        <v>13</v>
      </c>
      <c r="E3" t="s">
        <v>14</v>
      </c>
      <c r="F3" t="s">
        <v>15</v>
      </c>
      <c r="H3" s="1" t="s">
        <v>335</v>
      </c>
    </row>
    <row r="4" spans="1:8" x14ac:dyDescent="0.25">
      <c r="A4" t="s">
        <v>16</v>
      </c>
      <c r="B4" t="s">
        <v>17</v>
      </c>
      <c r="C4" t="s">
        <v>8</v>
      </c>
      <c r="D4">
        <v>2025</v>
      </c>
      <c r="E4" t="s">
        <v>9</v>
      </c>
      <c r="F4" t="s">
        <v>18</v>
      </c>
      <c r="H4" t="e" cm="1" vm="1">
        <f t="array" aca="1" ref="H4" ca="1">_xlfn.UNIQUE(B:B,FALSE,FALSE)</f>
        <v>#VALUE!</v>
      </c>
    </row>
    <row r="5" spans="1:8" x14ac:dyDescent="0.25">
      <c r="A5" t="s">
        <v>19</v>
      </c>
      <c r="B5" t="s">
        <v>20</v>
      </c>
      <c r="C5" t="s">
        <v>8</v>
      </c>
      <c r="D5" t="s">
        <v>13</v>
      </c>
      <c r="E5" t="s">
        <v>9</v>
      </c>
      <c r="F5" t="s">
        <v>21</v>
      </c>
      <c r="H5" s="2"/>
    </row>
    <row r="6" spans="1:8" x14ac:dyDescent="0.25">
      <c r="A6" t="s">
        <v>22</v>
      </c>
      <c r="B6" t="s">
        <v>23</v>
      </c>
      <c r="C6" t="s">
        <v>24</v>
      </c>
      <c r="D6">
        <v>2025</v>
      </c>
      <c r="E6" t="s">
        <v>9</v>
      </c>
      <c r="F6" t="s">
        <v>25</v>
      </c>
      <c r="H6" s="2" t="s">
        <v>331</v>
      </c>
    </row>
    <row r="7" spans="1:8" x14ac:dyDescent="0.25">
      <c r="A7" t="s">
        <v>26</v>
      </c>
      <c r="B7" t="s">
        <v>27</v>
      </c>
      <c r="C7" t="s">
        <v>24</v>
      </c>
      <c r="D7">
        <v>2025</v>
      </c>
      <c r="E7" t="s">
        <v>9</v>
      </c>
      <c r="F7" t="s">
        <v>28</v>
      </c>
      <c r="H7" s="1" t="s">
        <v>334</v>
      </c>
    </row>
    <row r="8" spans="1:8" x14ac:dyDescent="0.25">
      <c r="A8" t="s">
        <v>29</v>
      </c>
      <c r="B8" t="s">
        <v>30</v>
      </c>
      <c r="C8" t="s">
        <v>8</v>
      </c>
      <c r="D8">
        <v>2025</v>
      </c>
      <c r="E8" t="s">
        <v>9</v>
      </c>
      <c r="F8" t="s">
        <v>31</v>
      </c>
      <c r="H8" t="str" cm="1">
        <f t="array" ref="H8:H21">_xlfn.UNIQUE(D:D,FALSE,FALSE)</f>
        <v>Lulus dari SPENSANA  ...</v>
      </c>
    </row>
    <row r="9" spans="1:8" x14ac:dyDescent="0.25">
      <c r="A9" t="s">
        <v>32</v>
      </c>
      <c r="B9" t="s">
        <v>33</v>
      </c>
      <c r="C9" t="s">
        <v>24</v>
      </c>
      <c r="D9">
        <v>2025</v>
      </c>
      <c r="E9" t="s">
        <v>9</v>
      </c>
      <c r="F9" t="s">
        <v>34</v>
      </c>
      <c r="H9">
        <v>2025</v>
      </c>
    </row>
    <row r="10" spans="1:8" x14ac:dyDescent="0.25">
      <c r="A10" t="s">
        <v>35</v>
      </c>
      <c r="B10" t="s">
        <v>36</v>
      </c>
      <c r="C10" t="s">
        <v>24</v>
      </c>
      <c r="D10">
        <v>2025</v>
      </c>
      <c r="E10" t="s">
        <v>9</v>
      </c>
      <c r="F10" t="s">
        <v>37</v>
      </c>
      <c r="H10" t="str">
        <v>2024-2025</v>
      </c>
    </row>
    <row r="11" spans="1:8" x14ac:dyDescent="0.25">
      <c r="A11" t="s">
        <v>38</v>
      </c>
      <c r="B11" t="s">
        <v>39</v>
      </c>
      <c r="C11" t="s">
        <v>24</v>
      </c>
      <c r="D11">
        <v>2025</v>
      </c>
      <c r="E11" t="s">
        <v>9</v>
      </c>
      <c r="F11" t="s">
        <v>40</v>
      </c>
      <c r="H11">
        <v>2022</v>
      </c>
    </row>
    <row r="12" spans="1:8" x14ac:dyDescent="0.25">
      <c r="A12" t="s">
        <v>41</v>
      </c>
      <c r="B12" t="s">
        <v>42</v>
      </c>
      <c r="C12" t="s">
        <v>24</v>
      </c>
      <c r="D12">
        <v>2025</v>
      </c>
      <c r="E12" t="s">
        <v>14</v>
      </c>
      <c r="F12" t="s">
        <v>43</v>
      </c>
      <c r="H12">
        <v>2024</v>
      </c>
    </row>
    <row r="13" spans="1:8" x14ac:dyDescent="0.25">
      <c r="A13" t="s">
        <v>44</v>
      </c>
      <c r="B13" t="s">
        <v>45</v>
      </c>
      <c r="C13" t="s">
        <v>8</v>
      </c>
      <c r="D13">
        <v>2025</v>
      </c>
      <c r="E13" t="s">
        <v>9</v>
      </c>
      <c r="F13" t="s">
        <v>46</v>
      </c>
      <c r="H13">
        <v>2023</v>
      </c>
    </row>
    <row r="14" spans="1:8" x14ac:dyDescent="0.25">
      <c r="A14" t="s">
        <v>47</v>
      </c>
      <c r="B14" t="s">
        <v>48</v>
      </c>
      <c r="C14" t="s">
        <v>24</v>
      </c>
      <c r="D14">
        <v>2025</v>
      </c>
      <c r="E14" t="s">
        <v>14</v>
      </c>
      <c r="F14" t="s">
        <v>49</v>
      </c>
      <c r="H14" t="str">
        <v>Tahun 2025</v>
      </c>
    </row>
    <row r="15" spans="1:8" x14ac:dyDescent="0.25">
      <c r="A15" t="s">
        <v>50</v>
      </c>
      <c r="B15" t="s">
        <v>51</v>
      </c>
      <c r="C15" t="s">
        <v>8</v>
      </c>
      <c r="D15">
        <v>2025</v>
      </c>
      <c r="E15" t="s">
        <v>9</v>
      </c>
      <c r="F15" t="s">
        <v>52</v>
      </c>
      <c r="H15" t="str">
        <v>2023/2024</v>
      </c>
    </row>
    <row r="16" spans="1:8" x14ac:dyDescent="0.25">
      <c r="A16" t="s">
        <v>53</v>
      </c>
      <c r="B16" t="s">
        <v>54</v>
      </c>
      <c r="C16" t="s">
        <v>24</v>
      </c>
      <c r="D16">
        <v>2025</v>
      </c>
      <c r="E16" t="s">
        <v>9</v>
      </c>
      <c r="F16" t="s">
        <v>55</v>
      </c>
      <c r="H16" t="str">
        <v>12 Juni 2025</v>
      </c>
    </row>
    <row r="17" spans="1:8" x14ac:dyDescent="0.25">
      <c r="A17" t="s">
        <v>56</v>
      </c>
      <c r="B17" t="s">
        <v>57</v>
      </c>
      <c r="C17" t="s">
        <v>24</v>
      </c>
      <c r="D17">
        <v>2025</v>
      </c>
      <c r="E17" t="s">
        <v>9</v>
      </c>
      <c r="F17" t="s">
        <v>46</v>
      </c>
      <c r="H17" t="str">
        <v>thn 2025</v>
      </c>
    </row>
    <row r="18" spans="1:8" x14ac:dyDescent="0.25">
      <c r="A18" t="s">
        <v>58</v>
      </c>
      <c r="B18" t="s">
        <v>59</v>
      </c>
      <c r="C18" t="s">
        <v>8</v>
      </c>
      <c r="D18">
        <v>2025</v>
      </c>
      <c r="E18" t="s">
        <v>9</v>
      </c>
      <c r="F18" t="s">
        <v>60</v>
      </c>
      <c r="H18" s="3" t="str">
        <v>cth:2024</v>
      </c>
    </row>
    <row r="19" spans="1:8" x14ac:dyDescent="0.25">
      <c r="A19" t="s">
        <v>61</v>
      </c>
      <c r="B19" t="s">
        <v>62</v>
      </c>
      <c r="C19" t="s">
        <v>24</v>
      </c>
      <c r="D19">
        <v>2025</v>
      </c>
      <c r="E19" t="s">
        <v>9</v>
      </c>
      <c r="F19" t="s">
        <v>63</v>
      </c>
      <c r="H19" s="3" t="str">
        <v>tahun 2024</v>
      </c>
    </row>
    <row r="20" spans="1:8" x14ac:dyDescent="0.25">
      <c r="A20" t="s">
        <v>64</v>
      </c>
      <c r="B20" t="s">
        <v>65</v>
      </c>
      <c r="C20" t="s">
        <v>24</v>
      </c>
      <c r="D20" t="s">
        <v>13</v>
      </c>
      <c r="E20" t="s">
        <v>9</v>
      </c>
      <c r="F20" t="s">
        <v>66</v>
      </c>
      <c r="H20" s="1">
        <v>20223</v>
      </c>
    </row>
    <row r="21" spans="1:8" x14ac:dyDescent="0.25">
      <c r="A21" t="s">
        <v>67</v>
      </c>
      <c r="B21" t="s">
        <v>68</v>
      </c>
      <c r="C21" t="s">
        <v>24</v>
      </c>
      <c r="D21">
        <v>2025</v>
      </c>
      <c r="E21" t="s">
        <v>9</v>
      </c>
      <c r="F21" t="s">
        <v>69</v>
      </c>
      <c r="H21">
        <v>0</v>
      </c>
    </row>
    <row r="22" spans="1:8" x14ac:dyDescent="0.25">
      <c r="A22" t="s">
        <v>70</v>
      </c>
      <c r="B22" t="s">
        <v>71</v>
      </c>
      <c r="C22" t="s">
        <v>8</v>
      </c>
      <c r="D22">
        <v>2025</v>
      </c>
      <c r="E22" t="s">
        <v>9</v>
      </c>
      <c r="F22" t="s">
        <v>72</v>
      </c>
    </row>
    <row r="23" spans="1:8" x14ac:dyDescent="0.25">
      <c r="A23" t="s">
        <v>73</v>
      </c>
      <c r="B23" t="s">
        <v>74</v>
      </c>
      <c r="C23" t="s">
        <v>24</v>
      </c>
      <c r="D23">
        <v>2025</v>
      </c>
      <c r="E23" t="s">
        <v>9</v>
      </c>
      <c r="F23" t="s">
        <v>75</v>
      </c>
      <c r="H23" s="2" t="s">
        <v>333</v>
      </c>
    </row>
    <row r="24" spans="1:8" x14ac:dyDescent="0.25">
      <c r="A24" t="s">
        <v>76</v>
      </c>
      <c r="B24" t="s">
        <v>77</v>
      </c>
      <c r="C24" t="s">
        <v>24</v>
      </c>
      <c r="D24">
        <v>2025</v>
      </c>
      <c r="E24" t="s">
        <v>14</v>
      </c>
      <c r="F24" t="s">
        <v>15</v>
      </c>
      <c r="H24" s="1" t="s">
        <v>336</v>
      </c>
    </row>
    <row r="25" spans="1:8" x14ac:dyDescent="0.25">
      <c r="A25" t="s">
        <v>78</v>
      </c>
      <c r="B25" t="s">
        <v>79</v>
      </c>
      <c r="C25" t="s">
        <v>8</v>
      </c>
      <c r="D25">
        <v>2025</v>
      </c>
      <c r="E25" t="s">
        <v>9</v>
      </c>
      <c r="F25" t="s">
        <v>80</v>
      </c>
      <c r="H25" s="3" t="str" cm="1">
        <f t="array" ref="H25:H29">_xlfn.UNIQUE(E:E,FALSE,FALSE)</f>
        <v>Lanjut ke Sekolah Menengah ...</v>
      </c>
    </row>
    <row r="26" spans="1:8" x14ac:dyDescent="0.25">
      <c r="A26" t="s">
        <v>81</v>
      </c>
      <c r="B26" t="s">
        <v>82</v>
      </c>
      <c r="C26" t="s">
        <v>24</v>
      </c>
      <c r="D26">
        <v>2025</v>
      </c>
      <c r="E26" t="s">
        <v>9</v>
      </c>
      <c r="F26" t="s">
        <v>83</v>
      </c>
      <c r="H26" t="str">
        <v>SMK</v>
      </c>
    </row>
    <row r="27" spans="1:8" x14ac:dyDescent="0.25">
      <c r="A27" t="s">
        <v>84</v>
      </c>
      <c r="B27" t="s">
        <v>85</v>
      </c>
      <c r="C27" t="s">
        <v>8</v>
      </c>
      <c r="D27">
        <v>2025</v>
      </c>
      <c r="E27" t="s">
        <v>9</v>
      </c>
      <c r="F27" t="s">
        <v>86</v>
      </c>
      <c r="H27" t="str">
        <v>SMA</v>
      </c>
    </row>
    <row r="28" spans="1:8" x14ac:dyDescent="0.25">
      <c r="A28" t="s">
        <v>87</v>
      </c>
      <c r="B28" t="s">
        <v>88</v>
      </c>
      <c r="C28" t="s">
        <v>8</v>
      </c>
      <c r="D28">
        <v>2025</v>
      </c>
      <c r="E28" t="s">
        <v>9</v>
      </c>
      <c r="F28" t="s">
        <v>89</v>
      </c>
      <c r="H28" t="str">
        <v>SMAN 1 JALAKSANA</v>
      </c>
    </row>
    <row r="29" spans="1:8" x14ac:dyDescent="0.25">
      <c r="A29" t="s">
        <v>90</v>
      </c>
      <c r="B29" t="s">
        <v>91</v>
      </c>
      <c r="C29" t="s">
        <v>8</v>
      </c>
      <c r="D29">
        <v>2022</v>
      </c>
      <c r="E29" t="s">
        <v>9</v>
      </c>
      <c r="F29" t="s">
        <v>92</v>
      </c>
      <c r="H29">
        <v>0</v>
      </c>
    </row>
    <row r="30" spans="1:8" x14ac:dyDescent="0.25">
      <c r="A30" t="s">
        <v>93</v>
      </c>
      <c r="B30" t="s">
        <v>94</v>
      </c>
      <c r="C30" t="s">
        <v>8</v>
      </c>
      <c r="D30">
        <v>2025</v>
      </c>
      <c r="E30" t="s">
        <v>14</v>
      </c>
      <c r="F30" t="s">
        <v>15</v>
      </c>
    </row>
    <row r="31" spans="1:8" x14ac:dyDescent="0.25">
      <c r="A31" t="s">
        <v>95</v>
      </c>
      <c r="B31" t="s">
        <v>96</v>
      </c>
      <c r="C31" t="s">
        <v>8</v>
      </c>
      <c r="D31">
        <v>2025</v>
      </c>
      <c r="E31" t="s">
        <v>9</v>
      </c>
      <c r="F31" t="s">
        <v>97</v>
      </c>
      <c r="H31" s="2" t="s">
        <v>337</v>
      </c>
    </row>
    <row r="32" spans="1:8" x14ac:dyDescent="0.25">
      <c r="A32" t="s">
        <v>98</v>
      </c>
      <c r="B32" t="s">
        <v>99</v>
      </c>
      <c r="C32" t="s">
        <v>8</v>
      </c>
      <c r="D32">
        <v>2025</v>
      </c>
      <c r="E32" t="s">
        <v>9</v>
      </c>
      <c r="F32" t="s">
        <v>100</v>
      </c>
      <c r="H32" s="1" t="s">
        <v>338</v>
      </c>
    </row>
    <row r="33" spans="1:8" x14ac:dyDescent="0.25">
      <c r="A33" t="s">
        <v>101</v>
      </c>
      <c r="B33" t="s">
        <v>102</v>
      </c>
      <c r="C33" t="s">
        <v>8</v>
      </c>
      <c r="D33">
        <v>2024</v>
      </c>
      <c r="E33" t="s">
        <v>103</v>
      </c>
      <c r="F33" t="s">
        <v>49</v>
      </c>
      <c r="H33" t="str" cm="1">
        <f t="array" ref="H33:H92">_xlfn.UNIQUE(F:F,FALSE,FALSE)</f>
        <v>Jurusan ...</v>
      </c>
    </row>
    <row r="34" spans="1:8" x14ac:dyDescent="0.25">
      <c r="A34" t="s">
        <v>104</v>
      </c>
      <c r="B34" t="s">
        <v>105</v>
      </c>
      <c r="C34" t="s">
        <v>8</v>
      </c>
      <c r="D34">
        <v>2024</v>
      </c>
      <c r="E34" t="s">
        <v>9</v>
      </c>
      <c r="F34" t="s">
        <v>106</v>
      </c>
      <c r="H34" t="str">
        <v>Agribisnis Tanaman Pangan Dan Hortikultura (ATPH)</v>
      </c>
    </row>
    <row r="35" spans="1:8" x14ac:dyDescent="0.25">
      <c r="A35" t="s">
        <v>107</v>
      </c>
      <c r="B35" t="s">
        <v>108</v>
      </c>
      <c r="C35" t="s">
        <v>8</v>
      </c>
      <c r="D35">
        <v>2025</v>
      </c>
      <c r="E35" t="s">
        <v>9</v>
      </c>
      <c r="F35" t="s">
        <v>100</v>
      </c>
      <c r="H35" t="str">
        <v>IPS</v>
      </c>
    </row>
    <row r="36" spans="1:8" x14ac:dyDescent="0.25">
      <c r="A36" t="s">
        <v>109</v>
      </c>
      <c r="B36" t="s">
        <v>110</v>
      </c>
      <c r="C36" t="s">
        <v>8</v>
      </c>
      <c r="D36">
        <v>2024</v>
      </c>
      <c r="E36" t="s">
        <v>9</v>
      </c>
      <c r="F36" t="s">
        <v>40</v>
      </c>
      <c r="H36" t="str">
        <v>Teknik Otomasi Industri</v>
      </c>
    </row>
    <row r="37" spans="1:8" x14ac:dyDescent="0.25">
      <c r="A37" t="s">
        <v>111</v>
      </c>
      <c r="B37" t="s">
        <v>112</v>
      </c>
      <c r="C37" t="s">
        <v>8</v>
      </c>
      <c r="D37">
        <v>2023</v>
      </c>
      <c r="E37" t="s">
        <v>9</v>
      </c>
      <c r="F37" t="s">
        <v>113</v>
      </c>
      <c r="H37" t="str">
        <v>Teknik kendaraan ringan</v>
      </c>
    </row>
    <row r="38" spans="1:8" x14ac:dyDescent="0.25">
      <c r="A38" t="s">
        <v>114</v>
      </c>
      <c r="B38" t="s">
        <v>115</v>
      </c>
      <c r="C38" t="s">
        <v>8</v>
      </c>
      <c r="D38">
        <v>2024</v>
      </c>
      <c r="E38" t="s">
        <v>9</v>
      </c>
      <c r="F38" t="s">
        <v>116</v>
      </c>
      <c r="H38" t="str">
        <v>USAHA LAYANAN PARIWISATA</v>
      </c>
    </row>
    <row r="39" spans="1:8" x14ac:dyDescent="0.25">
      <c r="A39" t="s">
        <v>117</v>
      </c>
      <c r="B39" t="s">
        <v>118</v>
      </c>
      <c r="C39" t="s">
        <v>8</v>
      </c>
      <c r="D39">
        <v>2025</v>
      </c>
      <c r="E39" t="s">
        <v>9</v>
      </c>
      <c r="F39" t="s">
        <v>119</v>
      </c>
      <c r="H39" t="str">
        <v>AKUNTANSI</v>
      </c>
    </row>
    <row r="40" spans="1:8" x14ac:dyDescent="0.25">
      <c r="A40" t="s">
        <v>120</v>
      </c>
      <c r="B40" t="s">
        <v>121</v>
      </c>
      <c r="C40" t="s">
        <v>8</v>
      </c>
      <c r="D40">
        <v>2025</v>
      </c>
      <c r="E40" t="s">
        <v>14</v>
      </c>
      <c r="F40" t="s">
        <v>49</v>
      </c>
      <c r="H40" t="str">
        <v>Pengembangan Perangkat Lunak dan Gim</v>
      </c>
    </row>
    <row r="41" spans="1:8" x14ac:dyDescent="0.25">
      <c r="A41" t="s">
        <v>122</v>
      </c>
      <c r="B41" t="s">
        <v>123</v>
      </c>
      <c r="C41" t="s">
        <v>24</v>
      </c>
      <c r="D41">
        <v>2025</v>
      </c>
      <c r="E41" t="s">
        <v>14</v>
      </c>
      <c r="F41" t="s">
        <v>49</v>
      </c>
      <c r="H41" t="str">
        <v>desain permodelan dan informasi bangunan</v>
      </c>
    </row>
    <row r="42" spans="1:8" x14ac:dyDescent="0.25">
      <c r="A42" t="s">
        <v>124</v>
      </c>
      <c r="B42" t="s">
        <v>125</v>
      </c>
      <c r="C42" t="s">
        <v>24</v>
      </c>
      <c r="D42" t="s">
        <v>126</v>
      </c>
      <c r="E42" t="s">
        <v>14</v>
      </c>
      <c r="F42" t="s">
        <v>127</v>
      </c>
      <c r="H42" t="str">
        <v>Desain Pemodelan dan Informasi Bangunan</v>
      </c>
    </row>
    <row r="43" spans="1:8" x14ac:dyDescent="0.25">
      <c r="A43" t="s">
        <v>128</v>
      </c>
      <c r="B43" t="s">
        <v>129</v>
      </c>
      <c r="C43" t="s">
        <v>24</v>
      </c>
      <c r="D43">
        <v>2024</v>
      </c>
      <c r="E43" t="s">
        <v>9</v>
      </c>
      <c r="F43" t="s">
        <v>130</v>
      </c>
      <c r="H43" t="str">
        <v>Teknik Audio Video</v>
      </c>
    </row>
    <row r="44" spans="1:8" x14ac:dyDescent="0.25">
      <c r="A44" t="s">
        <v>131</v>
      </c>
      <c r="B44" t="s">
        <v>132</v>
      </c>
      <c r="C44" t="s">
        <v>24</v>
      </c>
      <c r="D44">
        <v>2025</v>
      </c>
      <c r="E44" t="s">
        <v>9</v>
      </c>
      <c r="F44" t="s">
        <v>133</v>
      </c>
      <c r="H44" t="str">
        <v>Teknik Komputer Jaringan</v>
      </c>
    </row>
    <row r="45" spans="1:8" x14ac:dyDescent="0.25">
      <c r="A45" t="s">
        <v>134</v>
      </c>
      <c r="B45" t="s">
        <v>135</v>
      </c>
      <c r="C45" t="s">
        <v>24</v>
      </c>
      <c r="D45">
        <v>2024</v>
      </c>
      <c r="E45" t="s">
        <v>14</v>
      </c>
      <c r="F45" t="s">
        <v>15</v>
      </c>
      <c r="H45" t="str">
        <v>IPA</v>
      </c>
    </row>
    <row r="46" spans="1:8" x14ac:dyDescent="0.25">
      <c r="A46" t="s">
        <v>136</v>
      </c>
      <c r="B46" t="s">
        <v>137</v>
      </c>
      <c r="C46" t="s">
        <v>8</v>
      </c>
      <c r="D46">
        <v>2024</v>
      </c>
      <c r="E46" t="s">
        <v>14</v>
      </c>
      <c r="F46" t="s">
        <v>15</v>
      </c>
      <c r="H46" t="str">
        <v>Desain Komunikasi Visual</v>
      </c>
    </row>
    <row r="47" spans="1:8" x14ac:dyDescent="0.25">
      <c r="A47" t="s">
        <v>138</v>
      </c>
      <c r="B47" t="s">
        <v>139</v>
      </c>
      <c r="C47" t="s">
        <v>8</v>
      </c>
      <c r="D47">
        <v>2023</v>
      </c>
      <c r="E47" t="s">
        <v>9</v>
      </c>
      <c r="F47" t="s">
        <v>140</v>
      </c>
      <c r="H47" t="str">
        <v>Teknik Ketenagalistrikan/Teknik instalasi Tenaga Listrik (TITL)</v>
      </c>
    </row>
    <row r="48" spans="1:8" x14ac:dyDescent="0.25">
      <c r="A48" t="s">
        <v>141</v>
      </c>
      <c r="B48" t="s">
        <v>142</v>
      </c>
      <c r="C48" t="s">
        <v>8</v>
      </c>
      <c r="D48">
        <v>2025</v>
      </c>
      <c r="E48" t="s">
        <v>9</v>
      </c>
      <c r="F48" t="s">
        <v>143</v>
      </c>
      <c r="H48" t="str">
        <v>TSM (TEKNIK SEPEDA MOTOR)</v>
      </c>
    </row>
    <row r="49" spans="1:8" x14ac:dyDescent="0.25">
      <c r="A49" t="s">
        <v>144</v>
      </c>
      <c r="B49" t="s">
        <v>145</v>
      </c>
      <c r="C49" t="s">
        <v>24</v>
      </c>
      <c r="D49">
        <v>2024</v>
      </c>
      <c r="E49" t="s">
        <v>9</v>
      </c>
      <c r="F49" t="s">
        <v>146</v>
      </c>
      <c r="H49" t="str">
        <v>Teknik Kontruksi Dan Perumahan</v>
      </c>
    </row>
    <row r="50" spans="1:8" x14ac:dyDescent="0.25">
      <c r="A50" t="s">
        <v>147</v>
      </c>
      <c r="B50" t="s">
        <v>148</v>
      </c>
      <c r="C50" t="s">
        <v>8</v>
      </c>
      <c r="D50">
        <v>2024</v>
      </c>
      <c r="E50" t="s">
        <v>9</v>
      </c>
      <c r="F50" t="s">
        <v>149</v>
      </c>
      <c r="H50" t="str">
        <v>TKP (tehnik konstruksi dan perumahan)</v>
      </c>
    </row>
    <row r="51" spans="1:8" x14ac:dyDescent="0.25">
      <c r="A51" t="s">
        <v>150</v>
      </c>
      <c r="B51" t="s">
        <v>151</v>
      </c>
      <c r="C51" t="s">
        <v>24</v>
      </c>
      <c r="D51">
        <v>2025</v>
      </c>
      <c r="E51" t="s">
        <v>9</v>
      </c>
      <c r="F51" t="s">
        <v>152</v>
      </c>
      <c r="H51" t="str">
        <v>Akuntansi keuangan dan lembaga</v>
      </c>
    </row>
    <row r="52" spans="1:8" x14ac:dyDescent="0.25">
      <c r="A52" t="s">
        <v>153</v>
      </c>
      <c r="B52" t="s">
        <v>154</v>
      </c>
      <c r="C52" t="s">
        <v>24</v>
      </c>
      <c r="D52">
        <v>2024</v>
      </c>
      <c r="E52" t="s">
        <v>14</v>
      </c>
      <c r="F52" t="s">
        <v>49</v>
      </c>
      <c r="H52" t="str">
        <v>teknik otomotif</v>
      </c>
    </row>
    <row r="53" spans="1:8" x14ac:dyDescent="0.25">
      <c r="A53" t="s">
        <v>155</v>
      </c>
      <c r="B53" t="s">
        <v>156</v>
      </c>
      <c r="C53" t="s">
        <v>24</v>
      </c>
      <c r="D53">
        <v>2025</v>
      </c>
      <c r="E53" t="s">
        <v>9</v>
      </c>
      <c r="F53" t="s">
        <v>157</v>
      </c>
      <c r="H53" t="str">
        <v>tkj (teknik komputer dan jaringan)</v>
      </c>
    </row>
    <row r="54" spans="1:8" x14ac:dyDescent="0.25">
      <c r="A54" t="s">
        <v>158</v>
      </c>
      <c r="B54" t="s">
        <v>159</v>
      </c>
      <c r="C54" t="s">
        <v>24</v>
      </c>
      <c r="D54">
        <v>2024</v>
      </c>
      <c r="E54" t="s">
        <v>9</v>
      </c>
      <c r="F54" t="s">
        <v>37</v>
      </c>
      <c r="H54" t="str">
        <v>SMK: Teknik kendaraan Ringan</v>
      </c>
    </row>
    <row r="55" spans="1:8" x14ac:dyDescent="0.25">
      <c r="A55" t="s">
        <v>160</v>
      </c>
      <c r="B55" t="s">
        <v>161</v>
      </c>
      <c r="C55" t="s">
        <v>24</v>
      </c>
      <c r="D55">
        <v>2025</v>
      </c>
      <c r="E55" t="s">
        <v>9</v>
      </c>
      <c r="F55" t="s">
        <v>162</v>
      </c>
      <c r="H55" t="str">
        <v>jurusan TSM</v>
      </c>
    </row>
    <row r="56" spans="1:8" x14ac:dyDescent="0.25">
      <c r="A56" t="s">
        <v>163</v>
      </c>
      <c r="B56" t="s">
        <v>164</v>
      </c>
      <c r="C56" t="s">
        <v>24</v>
      </c>
      <c r="D56">
        <v>2024</v>
      </c>
      <c r="E56" t="s">
        <v>14</v>
      </c>
      <c r="F56" t="s">
        <v>165</v>
      </c>
      <c r="H56" t="str">
        <v>jurusan teknik permesinan</v>
      </c>
    </row>
    <row r="57" spans="1:8" x14ac:dyDescent="0.25">
      <c r="A57" t="s">
        <v>166</v>
      </c>
      <c r="B57" t="s">
        <v>167</v>
      </c>
      <c r="C57" t="s">
        <v>24</v>
      </c>
      <c r="D57" t="s">
        <v>168</v>
      </c>
      <c r="E57" t="s">
        <v>9</v>
      </c>
      <c r="F57" t="s">
        <v>169</v>
      </c>
      <c r="H57" t="str">
        <v>JURUSAN PEMESINAN (TPM)</v>
      </c>
    </row>
    <row r="58" spans="1:8" x14ac:dyDescent="0.25">
      <c r="A58" t="s">
        <v>170</v>
      </c>
      <c r="B58" t="s">
        <v>171</v>
      </c>
      <c r="C58" t="s">
        <v>8</v>
      </c>
      <c r="D58">
        <v>2025</v>
      </c>
      <c r="E58" t="s">
        <v>9</v>
      </c>
      <c r="F58" t="s">
        <v>172</v>
      </c>
      <c r="H58" t="str">
        <v>Teknik Audio Vidio</v>
      </c>
    </row>
    <row r="59" spans="1:8" x14ac:dyDescent="0.25">
      <c r="A59" t="s">
        <v>173</v>
      </c>
      <c r="B59" t="s">
        <v>174</v>
      </c>
      <c r="C59" t="s">
        <v>8</v>
      </c>
      <c r="D59">
        <v>2025</v>
      </c>
      <c r="E59" t="s">
        <v>9</v>
      </c>
      <c r="F59" t="s">
        <v>175</v>
      </c>
      <c r="H59" t="str">
        <v>Teknik Sepeda Motor</v>
      </c>
    </row>
    <row r="60" spans="1:8" x14ac:dyDescent="0.25">
      <c r="A60" t="s">
        <v>176</v>
      </c>
      <c r="B60" t="s">
        <v>177</v>
      </c>
      <c r="C60" t="s">
        <v>24</v>
      </c>
      <c r="D60">
        <v>2024</v>
      </c>
      <c r="E60" t="s">
        <v>14</v>
      </c>
      <c r="F60" t="s">
        <v>15</v>
      </c>
      <c r="H60" t="str">
        <v>teknik permesinan smk karya nasional</v>
      </c>
    </row>
    <row r="61" spans="1:8" x14ac:dyDescent="0.25">
      <c r="A61" t="s">
        <v>178</v>
      </c>
      <c r="B61" t="s">
        <v>179</v>
      </c>
      <c r="C61" t="s">
        <v>8</v>
      </c>
      <c r="D61">
        <v>2025</v>
      </c>
      <c r="E61" t="s">
        <v>14</v>
      </c>
      <c r="F61" t="s">
        <v>15</v>
      </c>
      <c r="H61" t="str">
        <v>TBSM</v>
      </c>
    </row>
    <row r="62" spans="1:8" x14ac:dyDescent="0.25">
      <c r="A62" t="s">
        <v>180</v>
      </c>
      <c r="B62" t="s">
        <v>181</v>
      </c>
      <c r="C62" t="s">
        <v>24</v>
      </c>
      <c r="D62">
        <v>2025</v>
      </c>
      <c r="E62" t="s">
        <v>14</v>
      </c>
      <c r="F62" t="s">
        <v>15</v>
      </c>
      <c r="H62" t="str">
        <v>SMA: IPA</v>
      </c>
    </row>
    <row r="63" spans="1:8" x14ac:dyDescent="0.25">
      <c r="A63" t="s">
        <v>182</v>
      </c>
      <c r="B63" t="s">
        <v>183</v>
      </c>
      <c r="C63" t="s">
        <v>24</v>
      </c>
      <c r="D63" t="s">
        <v>184</v>
      </c>
      <c r="E63" t="s">
        <v>14</v>
      </c>
      <c r="F63" t="s">
        <v>185</v>
      </c>
      <c r="H63" t="str">
        <v>jurusan keperawatan</v>
      </c>
    </row>
    <row r="64" spans="1:8" x14ac:dyDescent="0.25">
      <c r="A64" t="s">
        <v>186</v>
      </c>
      <c r="B64" t="s">
        <v>187</v>
      </c>
      <c r="C64" t="s">
        <v>24</v>
      </c>
      <c r="D64">
        <v>2024</v>
      </c>
      <c r="E64" t="s">
        <v>14</v>
      </c>
      <c r="F64" t="s">
        <v>188</v>
      </c>
      <c r="H64" t="str">
        <v>SMK (kefarmasian)</v>
      </c>
    </row>
    <row r="65" spans="1:8" x14ac:dyDescent="0.25">
      <c r="A65" t="s">
        <v>189</v>
      </c>
      <c r="B65" t="s">
        <v>190</v>
      </c>
      <c r="C65" t="s">
        <v>8</v>
      </c>
      <c r="D65">
        <v>2025</v>
      </c>
      <c r="E65" t="s">
        <v>14</v>
      </c>
      <c r="F65" t="s">
        <v>49</v>
      </c>
      <c r="H65" t="str">
        <v>agribisnis perikanan air tawar</v>
      </c>
    </row>
    <row r="66" spans="1:8" x14ac:dyDescent="0.25">
      <c r="A66" t="s">
        <v>191</v>
      </c>
      <c r="B66" t="s">
        <v>192</v>
      </c>
      <c r="C66" t="s">
        <v>24</v>
      </c>
      <c r="D66">
        <v>2025</v>
      </c>
      <c r="E66" t="s">
        <v>14</v>
      </c>
      <c r="F66" t="s">
        <v>49</v>
      </c>
      <c r="H66" t="str">
        <v>Keperawatan</v>
      </c>
    </row>
    <row r="67" spans="1:8" x14ac:dyDescent="0.25">
      <c r="A67" t="s">
        <v>193</v>
      </c>
      <c r="B67" t="s">
        <v>194</v>
      </c>
      <c r="C67" t="s">
        <v>24</v>
      </c>
      <c r="D67" t="s">
        <v>195</v>
      </c>
      <c r="E67" t="s">
        <v>14</v>
      </c>
      <c r="F67" t="s">
        <v>196</v>
      </c>
      <c r="H67" t="str">
        <v>Rekayasa perangkat lunak</v>
      </c>
    </row>
    <row r="68" spans="1:8" x14ac:dyDescent="0.25">
      <c r="A68" t="s">
        <v>197</v>
      </c>
      <c r="B68" t="s">
        <v>198</v>
      </c>
      <c r="C68" t="s">
        <v>8</v>
      </c>
      <c r="D68">
        <v>2025</v>
      </c>
      <c r="E68" t="s">
        <v>9</v>
      </c>
      <c r="F68" t="s">
        <v>199</v>
      </c>
      <c r="H68" t="str">
        <v>layanan perbankan</v>
      </c>
    </row>
    <row r="69" spans="1:8" x14ac:dyDescent="0.25">
      <c r="A69" t="s">
        <v>200</v>
      </c>
      <c r="B69" t="s">
        <v>201</v>
      </c>
      <c r="C69" t="s">
        <v>24</v>
      </c>
      <c r="D69">
        <v>2025</v>
      </c>
      <c r="E69" t="s">
        <v>14</v>
      </c>
      <c r="F69" t="s">
        <v>15</v>
      </c>
      <c r="H69" t="str">
        <v>perhotelan</v>
      </c>
    </row>
    <row r="70" spans="1:8" x14ac:dyDescent="0.25">
      <c r="A70" t="s">
        <v>202</v>
      </c>
      <c r="B70" t="s">
        <v>203</v>
      </c>
      <c r="C70" t="s">
        <v>8</v>
      </c>
      <c r="D70">
        <v>2024</v>
      </c>
      <c r="E70" t="s">
        <v>9</v>
      </c>
      <c r="F70" t="s">
        <v>204</v>
      </c>
      <c r="H70" t="str">
        <v>SMAN 1 CILIMUS = jurusan peminatan Matematika Tingkat Lanjut,Biologi,Ekonomi</v>
      </c>
    </row>
    <row r="71" spans="1:8" x14ac:dyDescent="0.25">
      <c r="A71" t="s">
        <v>205</v>
      </c>
      <c r="B71" t="s">
        <v>206</v>
      </c>
      <c r="C71" t="s">
        <v>24</v>
      </c>
      <c r="D71">
        <v>2025</v>
      </c>
      <c r="E71" t="s">
        <v>9</v>
      </c>
      <c r="F71" t="s">
        <v>207</v>
      </c>
      <c r="H71" t="str">
        <v>Teknik Komputar Jaringan</v>
      </c>
    </row>
    <row r="72" spans="1:8" x14ac:dyDescent="0.25">
      <c r="A72" t="s">
        <v>208</v>
      </c>
      <c r="B72" t="s">
        <v>209</v>
      </c>
      <c r="C72" t="s">
        <v>8</v>
      </c>
      <c r="D72">
        <v>2025</v>
      </c>
      <c r="E72" t="s">
        <v>9</v>
      </c>
      <c r="F72" t="s">
        <v>100</v>
      </c>
      <c r="H72" t="str">
        <v>SMA, IPA</v>
      </c>
    </row>
    <row r="73" spans="1:8" x14ac:dyDescent="0.25">
      <c r="A73" t="s">
        <v>210</v>
      </c>
      <c r="B73" t="s">
        <v>211</v>
      </c>
      <c r="C73" t="s">
        <v>24</v>
      </c>
      <c r="D73">
        <v>2025</v>
      </c>
      <c r="E73" t="s">
        <v>14</v>
      </c>
      <c r="F73" t="s">
        <v>15</v>
      </c>
      <c r="H73" t="str">
        <v>SMA:IPA</v>
      </c>
    </row>
    <row r="74" spans="1:8" x14ac:dyDescent="0.25">
      <c r="A74" t="s">
        <v>212</v>
      </c>
      <c r="B74" t="s">
        <v>213</v>
      </c>
      <c r="C74" t="s">
        <v>8</v>
      </c>
      <c r="D74">
        <v>2023</v>
      </c>
      <c r="E74" t="s">
        <v>9</v>
      </c>
      <c r="F74" t="s">
        <v>140</v>
      </c>
      <c r="H74" t="str">
        <v>Teknik Komputer dan Jaringan (TKJ)</v>
      </c>
    </row>
    <row r="75" spans="1:8" x14ac:dyDescent="0.25">
      <c r="A75" t="s">
        <v>214</v>
      </c>
      <c r="B75" t="s">
        <v>215</v>
      </c>
      <c r="C75" t="s">
        <v>24</v>
      </c>
      <c r="D75">
        <v>2024</v>
      </c>
      <c r="E75" t="s">
        <v>14</v>
      </c>
      <c r="F75" t="s">
        <v>49</v>
      </c>
      <c r="H75" t="str">
        <v>Teknik komputer dan jaringan</v>
      </c>
    </row>
    <row r="76" spans="1:8" x14ac:dyDescent="0.25">
      <c r="A76" t="s">
        <v>216</v>
      </c>
      <c r="B76" t="s">
        <v>217</v>
      </c>
      <c r="C76" t="s">
        <v>24</v>
      </c>
      <c r="D76">
        <v>2023</v>
      </c>
      <c r="E76" t="s">
        <v>9</v>
      </c>
      <c r="F76" t="s">
        <v>31</v>
      </c>
      <c r="H76" t="str">
        <v>SMKN 1 KUNINGAN : Desain komunikasi visual (DKV</v>
      </c>
    </row>
    <row r="77" spans="1:8" x14ac:dyDescent="0.25">
      <c r="A77" t="s">
        <v>218</v>
      </c>
      <c r="B77" t="s">
        <v>219</v>
      </c>
      <c r="C77" t="s">
        <v>24</v>
      </c>
      <c r="D77">
        <v>2024</v>
      </c>
      <c r="E77" t="s">
        <v>9</v>
      </c>
      <c r="F77" t="s">
        <v>220</v>
      </c>
      <c r="H77" t="str">
        <v>akuntansi dan keuangan lembaga</v>
      </c>
    </row>
    <row r="78" spans="1:8" x14ac:dyDescent="0.25">
      <c r="A78" t="s">
        <v>221</v>
      </c>
      <c r="B78" t="s">
        <v>222</v>
      </c>
      <c r="C78" t="s">
        <v>24</v>
      </c>
      <c r="D78">
        <v>2023</v>
      </c>
      <c r="E78" t="s">
        <v>14</v>
      </c>
      <c r="F78" t="s">
        <v>43</v>
      </c>
      <c r="H78" t="str">
        <v>Tata boga</v>
      </c>
    </row>
    <row r="79" spans="1:8" x14ac:dyDescent="0.25">
      <c r="A79" t="s">
        <v>223</v>
      </c>
      <c r="B79" t="s">
        <v>224</v>
      </c>
      <c r="C79" t="s">
        <v>24</v>
      </c>
      <c r="D79">
        <v>2024</v>
      </c>
      <c r="E79" t="s">
        <v>14</v>
      </c>
      <c r="F79" t="s">
        <v>49</v>
      </c>
      <c r="H79" t="str">
        <v>teknik sepedah motor</v>
      </c>
    </row>
    <row r="80" spans="1:8" x14ac:dyDescent="0.25">
      <c r="A80" t="s">
        <v>225</v>
      </c>
      <c r="B80" t="s">
        <v>226</v>
      </c>
      <c r="C80" t="s">
        <v>24</v>
      </c>
      <c r="D80">
        <v>2024</v>
      </c>
      <c r="E80" t="s">
        <v>9</v>
      </c>
      <c r="F80" t="s">
        <v>227</v>
      </c>
      <c r="H80" t="str">
        <v>Farmasi</v>
      </c>
    </row>
    <row r="81" spans="1:8" x14ac:dyDescent="0.25">
      <c r="A81" t="s">
        <v>228</v>
      </c>
      <c r="B81" t="s">
        <v>229</v>
      </c>
      <c r="C81" t="s">
        <v>24</v>
      </c>
      <c r="D81" t="s">
        <v>230</v>
      </c>
      <c r="E81" t="s">
        <v>14</v>
      </c>
      <c r="F81" t="s">
        <v>49</v>
      </c>
      <c r="H81" t="str">
        <v>Teknik pemesinan</v>
      </c>
    </row>
    <row r="82" spans="1:8" x14ac:dyDescent="0.25">
      <c r="A82" t="s">
        <v>231</v>
      </c>
      <c r="B82" t="s">
        <v>232</v>
      </c>
      <c r="C82" t="s">
        <v>24</v>
      </c>
      <c r="D82">
        <v>2024</v>
      </c>
      <c r="E82" t="s">
        <v>14</v>
      </c>
      <c r="F82" t="s">
        <v>49</v>
      </c>
      <c r="H82" t="str">
        <v>teknik kendaraan ringgan</v>
      </c>
    </row>
    <row r="83" spans="1:8" x14ac:dyDescent="0.25">
      <c r="A83" t="s">
        <v>233</v>
      </c>
      <c r="B83" t="s">
        <v>234</v>
      </c>
      <c r="C83" t="s">
        <v>8</v>
      </c>
      <c r="D83">
        <v>2024</v>
      </c>
      <c r="E83" t="s">
        <v>9</v>
      </c>
      <c r="F83" t="s">
        <v>31</v>
      </c>
      <c r="H83" t="str">
        <v>Teknik Instalasi Tenaga Listrik</v>
      </c>
    </row>
    <row r="84" spans="1:8" x14ac:dyDescent="0.25">
      <c r="A84" t="s">
        <v>235</v>
      </c>
      <c r="B84" t="s">
        <v>236</v>
      </c>
      <c r="C84" t="s">
        <v>24</v>
      </c>
      <c r="D84" t="s">
        <v>13</v>
      </c>
      <c r="E84" t="s">
        <v>14</v>
      </c>
      <c r="F84" t="s">
        <v>49</v>
      </c>
      <c r="H84" t="str">
        <v>Jurusan pemasaran</v>
      </c>
    </row>
    <row r="85" spans="1:8" x14ac:dyDescent="0.25">
      <c r="A85" t="s">
        <v>237</v>
      </c>
      <c r="B85" t="s">
        <v>238</v>
      </c>
      <c r="C85" t="s">
        <v>24</v>
      </c>
      <c r="D85">
        <v>2024</v>
      </c>
      <c r="E85" t="s">
        <v>14</v>
      </c>
      <c r="F85" t="s">
        <v>49</v>
      </c>
      <c r="H85" t="str">
        <v>Kelas khusus Axioo class program</v>
      </c>
    </row>
    <row r="86" spans="1:8" x14ac:dyDescent="0.25">
      <c r="A86" t="s">
        <v>239</v>
      </c>
      <c r="B86" t="s">
        <v>240</v>
      </c>
      <c r="C86" t="s">
        <v>24</v>
      </c>
      <c r="D86">
        <v>2024</v>
      </c>
      <c r="E86" t="s">
        <v>9</v>
      </c>
      <c r="F86" t="s">
        <v>241</v>
      </c>
      <c r="H86" t="str">
        <v>SMKN 3 KUNINGAN : TEKNIK OTAMASI INDUSTRI</v>
      </c>
    </row>
    <row r="87" spans="1:8" x14ac:dyDescent="0.25">
      <c r="A87" t="s">
        <v>242</v>
      </c>
      <c r="B87" t="s">
        <v>243</v>
      </c>
      <c r="C87" t="s">
        <v>24</v>
      </c>
      <c r="D87">
        <v>2024</v>
      </c>
      <c r="E87" t="s">
        <v>14</v>
      </c>
      <c r="F87" t="s">
        <v>49</v>
      </c>
      <c r="H87" t="str">
        <v>Pemasaran</v>
      </c>
    </row>
    <row r="88" spans="1:8" x14ac:dyDescent="0.25">
      <c r="A88" t="s">
        <v>244</v>
      </c>
      <c r="B88" t="s">
        <v>245</v>
      </c>
      <c r="C88" t="s">
        <v>24</v>
      </c>
      <c r="D88">
        <v>2024</v>
      </c>
      <c r="E88" t="s">
        <v>9</v>
      </c>
      <c r="F88" t="s">
        <v>146</v>
      </c>
      <c r="H88" t="str">
        <v>PEMASARAN / BISNIS RITEL</v>
      </c>
    </row>
    <row r="89" spans="1:8" x14ac:dyDescent="0.25">
      <c r="A89" t="s">
        <v>246</v>
      </c>
      <c r="B89" t="s">
        <v>247</v>
      </c>
      <c r="C89" t="s">
        <v>24</v>
      </c>
      <c r="D89">
        <v>2024</v>
      </c>
      <c r="E89" t="s">
        <v>14</v>
      </c>
      <c r="F89" t="s">
        <v>49</v>
      </c>
      <c r="H89" t="str">
        <v>Teknik Ketenagalistrikan</v>
      </c>
    </row>
    <row r="90" spans="1:8" x14ac:dyDescent="0.25">
      <c r="A90" t="s">
        <v>248</v>
      </c>
      <c r="B90" t="s">
        <v>249</v>
      </c>
      <c r="C90" t="s">
        <v>8</v>
      </c>
      <c r="D90">
        <v>2024</v>
      </c>
      <c r="E90" t="s">
        <v>9</v>
      </c>
      <c r="F90" t="s">
        <v>250</v>
      </c>
      <c r="H90" t="str">
        <v>tjk</v>
      </c>
    </row>
    <row r="91" spans="1:8" x14ac:dyDescent="0.25">
      <c r="A91" t="s">
        <v>251</v>
      </c>
      <c r="B91" t="s">
        <v>252</v>
      </c>
      <c r="C91" t="s">
        <v>24</v>
      </c>
      <c r="D91">
        <v>2024</v>
      </c>
      <c r="E91" t="s">
        <v>14</v>
      </c>
      <c r="F91" t="s">
        <v>49</v>
      </c>
      <c r="H91" t="str">
        <v>SMK N 3 KUNINGAN (TOI)</v>
      </c>
    </row>
    <row r="92" spans="1:8" x14ac:dyDescent="0.25">
      <c r="A92" t="s">
        <v>253</v>
      </c>
      <c r="B92" t="s">
        <v>254</v>
      </c>
      <c r="C92" t="s">
        <v>8</v>
      </c>
      <c r="D92">
        <v>2022</v>
      </c>
      <c r="E92" t="s">
        <v>9</v>
      </c>
      <c r="F92" t="s">
        <v>116</v>
      </c>
      <c r="H92">
        <v>0</v>
      </c>
    </row>
    <row r="93" spans="1:8" x14ac:dyDescent="0.25">
      <c r="A93" t="s">
        <v>255</v>
      </c>
      <c r="B93" t="s">
        <v>256</v>
      </c>
      <c r="C93" t="s">
        <v>8</v>
      </c>
      <c r="D93">
        <v>2024</v>
      </c>
      <c r="E93" t="s">
        <v>9</v>
      </c>
      <c r="F93" t="s">
        <v>37</v>
      </c>
    </row>
    <row r="94" spans="1:8" x14ac:dyDescent="0.25">
      <c r="A94" t="s">
        <v>257</v>
      </c>
      <c r="B94" t="s">
        <v>258</v>
      </c>
      <c r="C94" t="s">
        <v>24</v>
      </c>
      <c r="D94">
        <v>2024</v>
      </c>
      <c r="E94" t="s">
        <v>9</v>
      </c>
      <c r="F94" t="s">
        <v>259</v>
      </c>
    </row>
    <row r="95" spans="1:8" x14ac:dyDescent="0.25">
      <c r="A95" t="s">
        <v>260</v>
      </c>
      <c r="B95" t="s">
        <v>261</v>
      </c>
      <c r="C95" t="s">
        <v>8</v>
      </c>
      <c r="D95">
        <v>2024</v>
      </c>
      <c r="E95" t="s">
        <v>9</v>
      </c>
      <c r="F95" t="s">
        <v>262</v>
      </c>
    </row>
    <row r="96" spans="1:8" x14ac:dyDescent="0.25">
      <c r="A96" t="s">
        <v>263</v>
      </c>
      <c r="B96" t="s">
        <v>264</v>
      </c>
      <c r="C96" t="s">
        <v>8</v>
      </c>
      <c r="D96">
        <v>2024</v>
      </c>
      <c r="E96" t="s">
        <v>14</v>
      </c>
      <c r="F96" t="s">
        <v>49</v>
      </c>
    </row>
    <row r="97" spans="1:6" x14ac:dyDescent="0.25">
      <c r="A97" t="s">
        <v>265</v>
      </c>
      <c r="B97" t="s">
        <v>266</v>
      </c>
      <c r="C97" t="s">
        <v>24</v>
      </c>
      <c r="D97">
        <v>2024</v>
      </c>
      <c r="E97" t="s">
        <v>14</v>
      </c>
      <c r="F97" t="s">
        <v>15</v>
      </c>
    </row>
    <row r="98" spans="1:6" x14ac:dyDescent="0.25">
      <c r="A98" t="s">
        <v>267</v>
      </c>
      <c r="B98" t="s">
        <v>268</v>
      </c>
      <c r="C98" t="s">
        <v>8</v>
      </c>
      <c r="D98">
        <v>2024</v>
      </c>
      <c r="E98" t="s">
        <v>9</v>
      </c>
      <c r="F98" t="s">
        <v>52</v>
      </c>
    </row>
    <row r="99" spans="1:6" x14ac:dyDescent="0.25">
      <c r="A99" t="s">
        <v>269</v>
      </c>
      <c r="B99" t="s">
        <v>270</v>
      </c>
      <c r="C99" t="s">
        <v>8</v>
      </c>
      <c r="D99">
        <v>2024</v>
      </c>
      <c r="E99" t="s">
        <v>9</v>
      </c>
      <c r="F99" t="s">
        <v>271</v>
      </c>
    </row>
    <row r="100" spans="1:6" x14ac:dyDescent="0.25">
      <c r="A100" t="s">
        <v>272</v>
      </c>
      <c r="B100" t="s">
        <v>273</v>
      </c>
      <c r="C100" t="s">
        <v>24</v>
      </c>
      <c r="D100">
        <v>2024</v>
      </c>
      <c r="E100" t="s">
        <v>9</v>
      </c>
      <c r="F100" t="s">
        <v>274</v>
      </c>
    </row>
    <row r="101" spans="1:6" x14ac:dyDescent="0.25">
      <c r="A101" t="s">
        <v>275</v>
      </c>
      <c r="B101" t="s">
        <v>276</v>
      </c>
      <c r="C101" t="s">
        <v>8</v>
      </c>
      <c r="D101">
        <v>2023</v>
      </c>
      <c r="E101" t="s">
        <v>9</v>
      </c>
      <c r="F101" t="s">
        <v>199</v>
      </c>
    </row>
    <row r="102" spans="1:6" x14ac:dyDescent="0.25">
      <c r="A102" t="s">
        <v>277</v>
      </c>
      <c r="B102" t="s">
        <v>278</v>
      </c>
      <c r="C102" t="s">
        <v>8</v>
      </c>
      <c r="D102">
        <v>2023</v>
      </c>
      <c r="E102" t="s">
        <v>9</v>
      </c>
      <c r="F102" t="s">
        <v>279</v>
      </c>
    </row>
    <row r="103" spans="1:6" x14ac:dyDescent="0.25">
      <c r="A103" t="s">
        <v>280</v>
      </c>
      <c r="B103" t="s">
        <v>281</v>
      </c>
      <c r="C103" t="s">
        <v>24</v>
      </c>
      <c r="D103">
        <v>2024</v>
      </c>
      <c r="E103" t="s">
        <v>14</v>
      </c>
      <c r="F103" t="s">
        <v>49</v>
      </c>
    </row>
    <row r="104" spans="1:6" x14ac:dyDescent="0.25">
      <c r="A104" t="s">
        <v>282</v>
      </c>
      <c r="B104" t="s">
        <v>283</v>
      </c>
      <c r="C104" t="s">
        <v>24</v>
      </c>
      <c r="D104">
        <v>2025</v>
      </c>
      <c r="E104" t="s">
        <v>9</v>
      </c>
      <c r="F104" t="s">
        <v>284</v>
      </c>
    </row>
    <row r="105" spans="1:6" x14ac:dyDescent="0.25">
      <c r="A105" t="s">
        <v>285</v>
      </c>
      <c r="B105" t="s">
        <v>286</v>
      </c>
      <c r="C105" t="s">
        <v>24</v>
      </c>
      <c r="D105">
        <v>2024</v>
      </c>
      <c r="E105" t="s">
        <v>9</v>
      </c>
      <c r="F105" t="s">
        <v>287</v>
      </c>
    </row>
    <row r="106" spans="1:6" x14ac:dyDescent="0.25">
      <c r="A106" t="s">
        <v>288</v>
      </c>
      <c r="B106" t="s">
        <v>289</v>
      </c>
      <c r="C106" t="s">
        <v>24</v>
      </c>
      <c r="D106">
        <v>2024</v>
      </c>
      <c r="E106" t="s">
        <v>9</v>
      </c>
      <c r="F106" t="s">
        <v>290</v>
      </c>
    </row>
    <row r="107" spans="1:6" x14ac:dyDescent="0.25">
      <c r="A107" t="s">
        <v>291</v>
      </c>
      <c r="B107" t="s">
        <v>292</v>
      </c>
      <c r="C107" t="s">
        <v>24</v>
      </c>
      <c r="D107">
        <v>2024</v>
      </c>
      <c r="E107" t="s">
        <v>14</v>
      </c>
      <c r="F107" t="s">
        <v>49</v>
      </c>
    </row>
    <row r="108" spans="1:6" x14ac:dyDescent="0.25">
      <c r="A108" t="s">
        <v>293</v>
      </c>
      <c r="B108" t="s">
        <v>294</v>
      </c>
      <c r="C108" t="s">
        <v>24</v>
      </c>
      <c r="D108" t="s">
        <v>295</v>
      </c>
      <c r="E108" t="s">
        <v>9</v>
      </c>
      <c r="F108" t="s">
        <v>296</v>
      </c>
    </row>
    <row r="109" spans="1:6" x14ac:dyDescent="0.25">
      <c r="A109" t="s">
        <v>297</v>
      </c>
      <c r="B109" t="s">
        <v>298</v>
      </c>
      <c r="C109" t="s">
        <v>24</v>
      </c>
      <c r="D109">
        <v>2025</v>
      </c>
      <c r="E109" t="s">
        <v>9</v>
      </c>
      <c r="F109" t="s">
        <v>299</v>
      </c>
    </row>
    <row r="110" spans="1:6" x14ac:dyDescent="0.25">
      <c r="A110" t="s">
        <v>300</v>
      </c>
      <c r="B110" t="s">
        <v>301</v>
      </c>
      <c r="C110" t="s">
        <v>24</v>
      </c>
      <c r="D110">
        <v>2025</v>
      </c>
      <c r="E110" t="s">
        <v>9</v>
      </c>
      <c r="F110" t="s">
        <v>302</v>
      </c>
    </row>
    <row r="111" spans="1:6" x14ac:dyDescent="0.25">
      <c r="A111" t="s">
        <v>303</v>
      </c>
      <c r="B111" t="s">
        <v>304</v>
      </c>
      <c r="C111" t="s">
        <v>8</v>
      </c>
      <c r="D111">
        <v>2024</v>
      </c>
      <c r="E111" t="s">
        <v>14</v>
      </c>
      <c r="F111" t="s">
        <v>43</v>
      </c>
    </row>
    <row r="112" spans="1:6" x14ac:dyDescent="0.25">
      <c r="A112" t="s">
        <v>305</v>
      </c>
      <c r="B112" t="s">
        <v>306</v>
      </c>
      <c r="C112" t="s">
        <v>24</v>
      </c>
      <c r="D112">
        <v>2024</v>
      </c>
      <c r="E112" t="s">
        <v>14</v>
      </c>
      <c r="F112" t="s">
        <v>15</v>
      </c>
    </row>
    <row r="113" spans="1:6" x14ac:dyDescent="0.25">
      <c r="A113" t="s">
        <v>307</v>
      </c>
      <c r="B113" t="s">
        <v>308</v>
      </c>
      <c r="C113" t="s">
        <v>8</v>
      </c>
      <c r="D113">
        <v>2024</v>
      </c>
      <c r="E113" t="s">
        <v>9</v>
      </c>
      <c r="F113" t="s">
        <v>309</v>
      </c>
    </row>
    <row r="114" spans="1:6" x14ac:dyDescent="0.25">
      <c r="A114" t="s">
        <v>310</v>
      </c>
      <c r="B114" t="s">
        <v>311</v>
      </c>
      <c r="C114" t="s">
        <v>24</v>
      </c>
      <c r="D114">
        <v>2024</v>
      </c>
      <c r="E114" t="s">
        <v>14</v>
      </c>
      <c r="F114" t="s">
        <v>49</v>
      </c>
    </row>
    <row r="115" spans="1:6" x14ac:dyDescent="0.25">
      <c r="A115" t="s">
        <v>312</v>
      </c>
      <c r="B115" t="s">
        <v>313</v>
      </c>
      <c r="C115" t="s">
        <v>24</v>
      </c>
      <c r="D115">
        <v>20223</v>
      </c>
      <c r="E115" t="s">
        <v>9</v>
      </c>
      <c r="F115" t="s">
        <v>314</v>
      </c>
    </row>
    <row r="116" spans="1:6" x14ac:dyDescent="0.25">
      <c r="A116" t="s">
        <v>315</v>
      </c>
      <c r="B116" t="s">
        <v>316</v>
      </c>
      <c r="C116" t="s">
        <v>24</v>
      </c>
      <c r="D116">
        <v>2024</v>
      </c>
      <c r="E116" t="s">
        <v>14</v>
      </c>
      <c r="F116" t="s">
        <v>49</v>
      </c>
    </row>
    <row r="117" spans="1:6" x14ac:dyDescent="0.25">
      <c r="A117" t="s">
        <v>317</v>
      </c>
      <c r="B117" t="s">
        <v>318</v>
      </c>
      <c r="C117" t="s">
        <v>8</v>
      </c>
      <c r="D117">
        <v>2025</v>
      </c>
      <c r="E117" t="s">
        <v>9</v>
      </c>
      <c r="F117" t="s">
        <v>319</v>
      </c>
    </row>
    <row r="118" spans="1:6" x14ac:dyDescent="0.25">
      <c r="A118" t="s">
        <v>320</v>
      </c>
      <c r="B118" t="s">
        <v>321</v>
      </c>
      <c r="C118" t="s">
        <v>24</v>
      </c>
      <c r="D118">
        <v>2025</v>
      </c>
      <c r="E118" t="s">
        <v>9</v>
      </c>
      <c r="F118" t="s">
        <v>18</v>
      </c>
    </row>
    <row r="119" spans="1:6" x14ac:dyDescent="0.25">
      <c r="A119" t="s">
        <v>322</v>
      </c>
      <c r="B119" t="s">
        <v>323</v>
      </c>
      <c r="C119" t="s">
        <v>24</v>
      </c>
      <c r="D119">
        <v>2024</v>
      </c>
      <c r="E119" t="s">
        <v>14</v>
      </c>
      <c r="F119" t="s">
        <v>43</v>
      </c>
    </row>
    <row r="120" spans="1:6" x14ac:dyDescent="0.25">
      <c r="A120" t="s">
        <v>324</v>
      </c>
      <c r="B120" t="s">
        <v>325</v>
      </c>
      <c r="C120" t="s">
        <v>24</v>
      </c>
      <c r="D120">
        <v>2025</v>
      </c>
      <c r="E120" t="s">
        <v>14</v>
      </c>
      <c r="F120" t="s">
        <v>15</v>
      </c>
    </row>
    <row r="121" spans="1:6" x14ac:dyDescent="0.25">
      <c r="A121" t="s">
        <v>326</v>
      </c>
      <c r="B121" t="s">
        <v>327</v>
      </c>
      <c r="C121" t="s">
        <v>24</v>
      </c>
      <c r="D121">
        <v>2025</v>
      </c>
      <c r="E121" t="s">
        <v>14</v>
      </c>
      <c r="F121" t="s">
        <v>15</v>
      </c>
    </row>
    <row r="122" spans="1:6" x14ac:dyDescent="0.25">
      <c r="A122" t="s">
        <v>328</v>
      </c>
      <c r="B122" t="s">
        <v>329</v>
      </c>
      <c r="C122" t="s">
        <v>24</v>
      </c>
      <c r="D122">
        <v>2025</v>
      </c>
      <c r="E122" t="s">
        <v>14</v>
      </c>
      <c r="F122" t="s">
        <v>15</v>
      </c>
    </row>
  </sheetData>
  <sheetProtection algorithmName="SHA-512" hashValue="aob98pq8XMssePbfr51cIx5XXmORVg2EKiPBf0S8dadi9874Zwgs9uZt46pjASRZR3UJKipkvgEdKhGdh1bUSA==" saltValue="lpQF0sSZWc2uiSnnAdba/w==" spinCount="100000" sheet="1" objects="1" scenarios="1"/>
  <autoFilter ref="A1:F122" xr:uid="{00000000-0009-0000-0000-000001000000}"/>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22"/>
  <sheetViews>
    <sheetView workbookViewId="0">
      <selection activeCell="I31" sqref="I31"/>
    </sheetView>
  </sheetViews>
  <sheetFormatPr defaultRowHeight="15.75" x14ac:dyDescent="0.25"/>
  <cols>
    <col min="4" max="4" width="7.5" customWidth="1"/>
    <col min="7" max="7" width="43.5" bestFit="1" customWidth="1"/>
  </cols>
  <sheetData>
    <row r="1" spans="1:10" x14ac:dyDescent="0.25">
      <c r="A1" t="s">
        <v>1</v>
      </c>
      <c r="B1" t="s">
        <v>2</v>
      </c>
      <c r="C1" t="s">
        <v>3</v>
      </c>
      <c r="D1" t="s">
        <v>4</v>
      </c>
      <c r="E1" t="s">
        <v>5</v>
      </c>
      <c r="F1" t="s">
        <v>350</v>
      </c>
      <c r="G1" t="s">
        <v>339</v>
      </c>
      <c r="H1" t="s">
        <v>355</v>
      </c>
      <c r="J1" s="2"/>
    </row>
    <row r="2" spans="1:10" x14ac:dyDescent="0.25">
      <c r="A2" t="s">
        <v>7</v>
      </c>
      <c r="B2" t="s">
        <v>8</v>
      </c>
      <c r="C2">
        <v>2025</v>
      </c>
      <c r="D2" t="s">
        <v>9</v>
      </c>
      <c r="E2" t="s">
        <v>10</v>
      </c>
      <c r="F2" t="str">
        <f>PROPER(E2)</f>
        <v>Agribisnis Tanaman Pangan Dan Hortikultura (Atph)</v>
      </c>
      <c r="G2" t="s">
        <v>354</v>
      </c>
      <c r="H2" t="s">
        <v>357</v>
      </c>
    </row>
    <row r="3" spans="1:10" x14ac:dyDescent="0.25">
      <c r="A3" t="s">
        <v>12</v>
      </c>
      <c r="B3" t="s">
        <v>8</v>
      </c>
      <c r="C3">
        <v>2025</v>
      </c>
      <c r="D3" t="s">
        <v>14</v>
      </c>
      <c r="E3" t="s">
        <v>15</v>
      </c>
      <c r="H3" t="s">
        <v>365</v>
      </c>
    </row>
    <row r="4" spans="1:10" x14ac:dyDescent="0.25">
      <c r="A4" t="s">
        <v>17</v>
      </c>
      <c r="B4" t="s">
        <v>8</v>
      </c>
      <c r="C4">
        <v>2025</v>
      </c>
      <c r="D4" t="s">
        <v>9</v>
      </c>
      <c r="E4" t="s">
        <v>18</v>
      </c>
      <c r="F4" t="str">
        <f t="shared" ref="F4:F11" si="0">PROPER(E4)</f>
        <v>Teknik Otomasi Industri</v>
      </c>
      <c r="G4" t="s">
        <v>18</v>
      </c>
      <c r="H4" t="s">
        <v>362</v>
      </c>
    </row>
    <row r="5" spans="1:10" x14ac:dyDescent="0.25">
      <c r="A5" t="s">
        <v>20</v>
      </c>
      <c r="B5" t="s">
        <v>8</v>
      </c>
      <c r="C5">
        <v>2025</v>
      </c>
      <c r="D5" t="s">
        <v>9</v>
      </c>
      <c r="E5" t="s">
        <v>21</v>
      </c>
      <c r="F5" t="str">
        <f t="shared" si="0"/>
        <v>Teknik Kendaraan Ringan</v>
      </c>
      <c r="G5" t="s">
        <v>340</v>
      </c>
      <c r="H5" t="s">
        <v>363</v>
      </c>
    </row>
    <row r="6" spans="1:10" x14ac:dyDescent="0.25">
      <c r="A6" t="s">
        <v>23</v>
      </c>
      <c r="B6" t="s">
        <v>24</v>
      </c>
      <c r="C6">
        <v>2025</v>
      </c>
      <c r="D6" t="s">
        <v>9</v>
      </c>
      <c r="E6" t="s">
        <v>25</v>
      </c>
      <c r="F6" t="str">
        <f t="shared" si="0"/>
        <v>Usaha Layanan Pariwisata</v>
      </c>
      <c r="G6" t="s">
        <v>341</v>
      </c>
      <c r="H6" t="s">
        <v>361</v>
      </c>
    </row>
    <row r="7" spans="1:10" x14ac:dyDescent="0.25">
      <c r="A7" t="s">
        <v>27</v>
      </c>
      <c r="B7" t="s">
        <v>24</v>
      </c>
      <c r="C7">
        <v>2025</v>
      </c>
      <c r="D7" t="s">
        <v>9</v>
      </c>
      <c r="E7" t="s">
        <v>28</v>
      </c>
      <c r="F7" t="str">
        <f t="shared" si="0"/>
        <v>Akuntansi</v>
      </c>
      <c r="G7" t="s">
        <v>342</v>
      </c>
      <c r="H7" t="s">
        <v>358</v>
      </c>
    </row>
    <row r="8" spans="1:10" x14ac:dyDescent="0.25">
      <c r="A8" t="s">
        <v>30</v>
      </c>
      <c r="B8" t="s">
        <v>8</v>
      </c>
      <c r="C8">
        <v>2025</v>
      </c>
      <c r="D8" t="s">
        <v>9</v>
      </c>
      <c r="E8" t="s">
        <v>31</v>
      </c>
      <c r="F8" t="str">
        <f t="shared" si="0"/>
        <v>Pengembangan Perangkat Lunak Dan Gim</v>
      </c>
      <c r="G8" t="s">
        <v>31</v>
      </c>
      <c r="H8" t="s">
        <v>356</v>
      </c>
    </row>
    <row r="9" spans="1:10" x14ac:dyDescent="0.25">
      <c r="A9" t="s">
        <v>33</v>
      </c>
      <c r="B9" t="s">
        <v>24</v>
      </c>
      <c r="C9">
        <v>2025</v>
      </c>
      <c r="D9" t="s">
        <v>9</v>
      </c>
      <c r="E9" t="s">
        <v>34</v>
      </c>
      <c r="F9" t="str">
        <f t="shared" si="0"/>
        <v>Desain Permodelan Dan Informasi Bangunan</v>
      </c>
      <c r="G9" t="s">
        <v>37</v>
      </c>
      <c r="H9" t="s">
        <v>356</v>
      </c>
    </row>
    <row r="10" spans="1:10" x14ac:dyDescent="0.25">
      <c r="A10" t="s">
        <v>36</v>
      </c>
      <c r="B10" t="s">
        <v>24</v>
      </c>
      <c r="C10">
        <v>2025</v>
      </c>
      <c r="D10" t="s">
        <v>9</v>
      </c>
      <c r="E10" t="s">
        <v>37</v>
      </c>
      <c r="F10" t="str">
        <f t="shared" si="0"/>
        <v>Desain Pemodelan Dan Informasi Bangunan</v>
      </c>
      <c r="G10" t="s">
        <v>37</v>
      </c>
      <c r="H10" t="s">
        <v>359</v>
      </c>
    </row>
    <row r="11" spans="1:10" x14ac:dyDescent="0.25">
      <c r="A11" t="s">
        <v>39</v>
      </c>
      <c r="B11" t="s">
        <v>24</v>
      </c>
      <c r="C11">
        <v>2025</v>
      </c>
      <c r="D11" t="s">
        <v>9</v>
      </c>
      <c r="E11" t="s">
        <v>40</v>
      </c>
      <c r="F11" t="str">
        <f t="shared" si="0"/>
        <v>Teknik Audio Video</v>
      </c>
      <c r="G11" t="s">
        <v>40</v>
      </c>
      <c r="H11" t="s">
        <v>356</v>
      </c>
    </row>
    <row r="12" spans="1:10" x14ac:dyDescent="0.25">
      <c r="A12" t="s">
        <v>42</v>
      </c>
      <c r="B12" t="s">
        <v>24</v>
      </c>
      <c r="C12">
        <v>2025</v>
      </c>
      <c r="D12" t="s">
        <v>14</v>
      </c>
      <c r="E12" t="s">
        <v>15</v>
      </c>
      <c r="H12" t="s">
        <v>365</v>
      </c>
    </row>
    <row r="13" spans="1:10" x14ac:dyDescent="0.25">
      <c r="A13" t="s">
        <v>45</v>
      </c>
      <c r="B13" t="s">
        <v>8</v>
      </c>
      <c r="C13">
        <v>2025</v>
      </c>
      <c r="D13" t="s">
        <v>9</v>
      </c>
      <c r="E13" t="s">
        <v>46</v>
      </c>
      <c r="F13" t="str">
        <f>PROPER(E13)</f>
        <v>Teknik Komputer Jaringan</v>
      </c>
      <c r="G13" t="s">
        <v>351</v>
      </c>
      <c r="H13" t="s">
        <v>356</v>
      </c>
    </row>
    <row r="14" spans="1:10" x14ac:dyDescent="0.25">
      <c r="A14" t="s">
        <v>48</v>
      </c>
      <c r="B14" t="s">
        <v>24</v>
      </c>
      <c r="C14">
        <v>2025</v>
      </c>
      <c r="D14" t="s">
        <v>14</v>
      </c>
      <c r="E14" t="s">
        <v>49</v>
      </c>
      <c r="H14" t="s">
        <v>364</v>
      </c>
    </row>
    <row r="15" spans="1:10" x14ac:dyDescent="0.25">
      <c r="A15" t="s">
        <v>51</v>
      </c>
      <c r="B15" t="s">
        <v>8</v>
      </c>
      <c r="C15">
        <v>2025</v>
      </c>
      <c r="D15" t="s">
        <v>9</v>
      </c>
      <c r="E15" t="s">
        <v>52</v>
      </c>
      <c r="F15" t="str">
        <f t="shared" ref="F15:F23" si="1">PROPER(E15)</f>
        <v>Desain Komunikasi Visual</v>
      </c>
      <c r="G15" t="s">
        <v>52</v>
      </c>
      <c r="H15" t="s">
        <v>356</v>
      </c>
    </row>
    <row r="16" spans="1:10" x14ac:dyDescent="0.25">
      <c r="A16" t="s">
        <v>54</v>
      </c>
      <c r="B16" t="s">
        <v>24</v>
      </c>
      <c r="C16">
        <v>2025</v>
      </c>
      <c r="D16" t="s">
        <v>9</v>
      </c>
      <c r="E16" t="s">
        <v>55</v>
      </c>
      <c r="F16" t="str">
        <f t="shared" si="1"/>
        <v>Teknik Ketenagalistrikan/Teknik Instalasi Tenaga Listrik (Titl)</v>
      </c>
      <c r="G16" t="s">
        <v>279</v>
      </c>
      <c r="H16" t="s">
        <v>362</v>
      </c>
    </row>
    <row r="17" spans="1:8" x14ac:dyDescent="0.25">
      <c r="A17" t="s">
        <v>57</v>
      </c>
      <c r="B17" t="s">
        <v>24</v>
      </c>
      <c r="C17">
        <v>2025</v>
      </c>
      <c r="D17" t="s">
        <v>9</v>
      </c>
      <c r="E17" t="s">
        <v>46</v>
      </c>
      <c r="F17" t="str">
        <f t="shared" si="1"/>
        <v>Teknik Komputer Jaringan</v>
      </c>
      <c r="G17" t="s">
        <v>351</v>
      </c>
      <c r="H17" t="s">
        <v>356</v>
      </c>
    </row>
    <row r="18" spans="1:8" x14ac:dyDescent="0.25">
      <c r="A18" t="s">
        <v>59</v>
      </c>
      <c r="B18" t="s">
        <v>8</v>
      </c>
      <c r="C18">
        <v>2025</v>
      </c>
      <c r="D18" t="s">
        <v>9</v>
      </c>
      <c r="E18" t="s">
        <v>60</v>
      </c>
      <c r="F18" t="str">
        <f t="shared" si="1"/>
        <v>Tsm (Teknik Sepeda Motor)</v>
      </c>
      <c r="G18" t="s">
        <v>100</v>
      </c>
      <c r="H18" t="s">
        <v>363</v>
      </c>
    </row>
    <row r="19" spans="1:8" x14ac:dyDescent="0.25">
      <c r="A19" t="s">
        <v>62</v>
      </c>
      <c r="B19" t="s">
        <v>24</v>
      </c>
      <c r="C19">
        <v>2025</v>
      </c>
      <c r="D19" t="s">
        <v>9</v>
      </c>
      <c r="E19" t="s">
        <v>63</v>
      </c>
      <c r="F19" t="str">
        <f t="shared" si="1"/>
        <v>Teknik Kontruksi Dan Perumahan</v>
      </c>
      <c r="G19" t="s">
        <v>352</v>
      </c>
      <c r="H19" t="s">
        <v>359</v>
      </c>
    </row>
    <row r="20" spans="1:8" x14ac:dyDescent="0.25">
      <c r="A20" t="s">
        <v>65</v>
      </c>
      <c r="B20" t="s">
        <v>24</v>
      </c>
      <c r="C20">
        <v>2025</v>
      </c>
      <c r="D20" t="s">
        <v>9</v>
      </c>
      <c r="E20" t="s">
        <v>66</v>
      </c>
      <c r="F20" t="str">
        <f t="shared" si="1"/>
        <v>Tkp (Tehnik Konstruksi Dan Perumahan)</v>
      </c>
      <c r="G20" t="s">
        <v>352</v>
      </c>
      <c r="H20" t="s">
        <v>359</v>
      </c>
    </row>
    <row r="21" spans="1:8" x14ac:dyDescent="0.25">
      <c r="A21" t="s">
        <v>68</v>
      </c>
      <c r="B21" t="s">
        <v>24</v>
      </c>
      <c r="C21">
        <v>2025</v>
      </c>
      <c r="D21" t="s">
        <v>9</v>
      </c>
      <c r="E21" t="s">
        <v>69</v>
      </c>
      <c r="F21" t="str">
        <f t="shared" si="1"/>
        <v>Akuntansi Keuangan Dan Lembaga</v>
      </c>
      <c r="G21" t="s">
        <v>342</v>
      </c>
      <c r="H21" t="s">
        <v>358</v>
      </c>
    </row>
    <row r="22" spans="1:8" x14ac:dyDescent="0.25">
      <c r="A22" t="s">
        <v>71</v>
      </c>
      <c r="B22" t="s">
        <v>8</v>
      </c>
      <c r="C22">
        <v>2025</v>
      </c>
      <c r="D22" t="s">
        <v>9</v>
      </c>
      <c r="E22" t="s">
        <v>72</v>
      </c>
      <c r="F22" t="str">
        <f t="shared" si="1"/>
        <v>Teknik Otomotif</v>
      </c>
      <c r="G22" t="s">
        <v>343</v>
      </c>
      <c r="H22" t="s">
        <v>363</v>
      </c>
    </row>
    <row r="23" spans="1:8" x14ac:dyDescent="0.25">
      <c r="A23" t="s">
        <v>74</v>
      </c>
      <c r="B23" t="s">
        <v>24</v>
      </c>
      <c r="C23">
        <v>2025</v>
      </c>
      <c r="D23" t="s">
        <v>9</v>
      </c>
      <c r="E23" t="s">
        <v>75</v>
      </c>
      <c r="F23" t="str">
        <f t="shared" si="1"/>
        <v>Tkj (Teknik Komputer Dan Jaringan)</v>
      </c>
      <c r="G23" t="s">
        <v>351</v>
      </c>
      <c r="H23" t="s">
        <v>356</v>
      </c>
    </row>
    <row r="24" spans="1:8" x14ac:dyDescent="0.25">
      <c r="A24" t="s">
        <v>77</v>
      </c>
      <c r="B24" t="s">
        <v>24</v>
      </c>
      <c r="C24">
        <v>2025</v>
      </c>
      <c r="D24" t="s">
        <v>14</v>
      </c>
      <c r="E24" t="s">
        <v>15</v>
      </c>
      <c r="H24" t="s">
        <v>365</v>
      </c>
    </row>
    <row r="25" spans="1:8" x14ac:dyDescent="0.25">
      <c r="A25" t="s">
        <v>79</v>
      </c>
      <c r="B25" t="s">
        <v>8</v>
      </c>
      <c r="C25">
        <v>2025</v>
      </c>
      <c r="D25" t="s">
        <v>9</v>
      </c>
      <c r="E25" t="s">
        <v>80</v>
      </c>
      <c r="F25" t="str">
        <f t="shared" ref="F25:F29" si="2">PROPER(E25)</f>
        <v>Smk: Teknik Kendaraan Ringan</v>
      </c>
      <c r="G25" t="s">
        <v>340</v>
      </c>
      <c r="H25" t="s">
        <v>363</v>
      </c>
    </row>
    <row r="26" spans="1:8" x14ac:dyDescent="0.25">
      <c r="A26" t="s">
        <v>82</v>
      </c>
      <c r="B26" t="s">
        <v>24</v>
      </c>
      <c r="C26">
        <v>2025</v>
      </c>
      <c r="D26" t="s">
        <v>9</v>
      </c>
      <c r="E26" t="s">
        <v>83</v>
      </c>
      <c r="F26" t="str">
        <f t="shared" si="2"/>
        <v>Teknik Audio Video</v>
      </c>
      <c r="G26" t="s">
        <v>40</v>
      </c>
      <c r="H26" t="s">
        <v>356</v>
      </c>
    </row>
    <row r="27" spans="1:8" x14ac:dyDescent="0.25">
      <c r="A27" t="s">
        <v>85</v>
      </c>
      <c r="B27" t="s">
        <v>8</v>
      </c>
      <c r="C27">
        <v>2025</v>
      </c>
      <c r="D27" t="s">
        <v>9</v>
      </c>
      <c r="E27" t="s">
        <v>86</v>
      </c>
      <c r="F27" t="str">
        <f t="shared" si="2"/>
        <v>Jurusan Tsm</v>
      </c>
      <c r="G27" t="s">
        <v>100</v>
      </c>
      <c r="H27" t="s">
        <v>363</v>
      </c>
    </row>
    <row r="28" spans="1:8" x14ac:dyDescent="0.25">
      <c r="A28" t="s">
        <v>88</v>
      </c>
      <c r="B28" t="s">
        <v>8</v>
      </c>
      <c r="C28">
        <v>2025</v>
      </c>
      <c r="D28" t="s">
        <v>9</v>
      </c>
      <c r="E28" t="s">
        <v>89</v>
      </c>
      <c r="F28" t="str">
        <f t="shared" si="2"/>
        <v>Jurusan Teknik Permesinan</v>
      </c>
      <c r="G28" t="s">
        <v>349</v>
      </c>
      <c r="H28" t="s">
        <v>366</v>
      </c>
    </row>
    <row r="29" spans="1:8" x14ac:dyDescent="0.25">
      <c r="A29" t="s">
        <v>91</v>
      </c>
      <c r="B29" t="s">
        <v>8</v>
      </c>
      <c r="C29">
        <v>2022</v>
      </c>
      <c r="D29" t="s">
        <v>9</v>
      </c>
      <c r="E29" t="s">
        <v>92</v>
      </c>
      <c r="F29" t="str">
        <f t="shared" si="2"/>
        <v>Jurusan Pemesinan (Tpm)</v>
      </c>
      <c r="G29" t="s">
        <v>349</v>
      </c>
      <c r="H29" t="s">
        <v>366</v>
      </c>
    </row>
    <row r="30" spans="1:8" x14ac:dyDescent="0.25">
      <c r="A30" t="s">
        <v>94</v>
      </c>
      <c r="B30" t="s">
        <v>8</v>
      </c>
      <c r="C30">
        <v>2025</v>
      </c>
      <c r="D30" t="s">
        <v>14</v>
      </c>
      <c r="E30" t="s">
        <v>15</v>
      </c>
      <c r="H30" t="s">
        <v>365</v>
      </c>
    </row>
    <row r="31" spans="1:8" x14ac:dyDescent="0.25">
      <c r="A31" t="s">
        <v>96</v>
      </c>
      <c r="B31" t="s">
        <v>8</v>
      </c>
      <c r="C31">
        <v>2025</v>
      </c>
      <c r="D31" t="s">
        <v>9</v>
      </c>
      <c r="E31" t="s">
        <v>97</v>
      </c>
      <c r="F31" t="str">
        <f t="shared" ref="F31:F32" si="3">PROPER(E31)</f>
        <v>Teknik Audio Vidio</v>
      </c>
      <c r="G31" t="s">
        <v>40</v>
      </c>
      <c r="H31" t="s">
        <v>356</v>
      </c>
    </row>
    <row r="32" spans="1:8" x14ac:dyDescent="0.25">
      <c r="A32" t="s">
        <v>99</v>
      </c>
      <c r="B32" t="s">
        <v>8</v>
      </c>
      <c r="C32">
        <v>2025</v>
      </c>
      <c r="D32" t="s">
        <v>9</v>
      </c>
      <c r="E32" t="s">
        <v>100</v>
      </c>
      <c r="F32" t="str">
        <f t="shared" si="3"/>
        <v>Teknik Sepeda Motor</v>
      </c>
      <c r="G32" t="s">
        <v>100</v>
      </c>
      <c r="H32" t="s">
        <v>363</v>
      </c>
    </row>
    <row r="33" spans="1:8" x14ac:dyDescent="0.25">
      <c r="A33" t="s">
        <v>102</v>
      </c>
      <c r="B33" t="s">
        <v>8</v>
      </c>
      <c r="C33">
        <v>2024</v>
      </c>
      <c r="D33" t="s">
        <v>14</v>
      </c>
      <c r="E33" t="s">
        <v>49</v>
      </c>
      <c r="H33" t="s">
        <v>364</v>
      </c>
    </row>
    <row r="34" spans="1:8" x14ac:dyDescent="0.25">
      <c r="A34" t="s">
        <v>105</v>
      </c>
      <c r="B34" t="s">
        <v>8</v>
      </c>
      <c r="C34">
        <v>2024</v>
      </c>
      <c r="D34" t="s">
        <v>9</v>
      </c>
      <c r="E34" t="s">
        <v>106</v>
      </c>
      <c r="F34" t="str">
        <f t="shared" ref="F34:F39" si="4">PROPER(E34)</f>
        <v>Teknik Permesinan Smk Karya Nasional</v>
      </c>
      <c r="G34" t="s">
        <v>349</v>
      </c>
      <c r="H34" t="s">
        <v>366</v>
      </c>
    </row>
    <row r="35" spans="1:8" x14ac:dyDescent="0.25">
      <c r="A35" t="s">
        <v>108</v>
      </c>
      <c r="B35" t="s">
        <v>8</v>
      </c>
      <c r="C35">
        <v>2025</v>
      </c>
      <c r="D35" t="s">
        <v>9</v>
      </c>
      <c r="E35" t="s">
        <v>100</v>
      </c>
      <c r="F35" t="str">
        <f t="shared" si="4"/>
        <v>Teknik Sepeda Motor</v>
      </c>
      <c r="G35" t="s">
        <v>100</v>
      </c>
      <c r="H35" t="s">
        <v>363</v>
      </c>
    </row>
    <row r="36" spans="1:8" x14ac:dyDescent="0.25">
      <c r="A36" t="s">
        <v>110</v>
      </c>
      <c r="B36" t="s">
        <v>8</v>
      </c>
      <c r="C36">
        <v>2024</v>
      </c>
      <c r="D36" t="s">
        <v>9</v>
      </c>
      <c r="E36" t="s">
        <v>40</v>
      </c>
      <c r="F36" t="str">
        <f t="shared" si="4"/>
        <v>Teknik Audio Video</v>
      </c>
      <c r="G36" t="s">
        <v>40</v>
      </c>
      <c r="H36" t="s">
        <v>356</v>
      </c>
    </row>
    <row r="37" spans="1:8" x14ac:dyDescent="0.25">
      <c r="A37" t="s">
        <v>112</v>
      </c>
      <c r="B37" t="s">
        <v>8</v>
      </c>
      <c r="C37">
        <v>2023</v>
      </c>
      <c r="D37" t="s">
        <v>9</v>
      </c>
      <c r="E37" t="s">
        <v>113</v>
      </c>
      <c r="F37" t="str">
        <f t="shared" si="4"/>
        <v>Teknik Kendaraan Ringan</v>
      </c>
      <c r="G37" t="s">
        <v>340</v>
      </c>
      <c r="H37" t="s">
        <v>363</v>
      </c>
    </row>
    <row r="38" spans="1:8" x14ac:dyDescent="0.25">
      <c r="A38" t="s">
        <v>115</v>
      </c>
      <c r="B38" t="s">
        <v>8</v>
      </c>
      <c r="C38">
        <v>2024</v>
      </c>
      <c r="D38" t="s">
        <v>9</v>
      </c>
      <c r="E38" t="s">
        <v>116</v>
      </c>
      <c r="F38" t="str">
        <f t="shared" si="4"/>
        <v>Tbsm</v>
      </c>
      <c r="G38" t="s">
        <v>353</v>
      </c>
      <c r="H38" t="s">
        <v>358</v>
      </c>
    </row>
    <row r="39" spans="1:8" x14ac:dyDescent="0.25">
      <c r="A39" t="s">
        <v>118</v>
      </c>
      <c r="B39" t="s">
        <v>8</v>
      </c>
      <c r="C39">
        <v>2025</v>
      </c>
      <c r="D39" t="s">
        <v>9</v>
      </c>
      <c r="E39" t="s">
        <v>119</v>
      </c>
      <c r="F39" t="str">
        <f t="shared" si="4"/>
        <v>Desain Komunikasi Visual</v>
      </c>
      <c r="G39" t="s">
        <v>52</v>
      </c>
      <c r="H39" t="s">
        <v>356</v>
      </c>
    </row>
    <row r="40" spans="1:8" x14ac:dyDescent="0.25">
      <c r="A40" t="s">
        <v>121</v>
      </c>
      <c r="B40" t="s">
        <v>8</v>
      </c>
      <c r="C40">
        <v>2025</v>
      </c>
      <c r="D40" t="s">
        <v>14</v>
      </c>
      <c r="E40" t="s">
        <v>49</v>
      </c>
      <c r="H40" t="s">
        <v>364</v>
      </c>
    </row>
    <row r="41" spans="1:8" x14ac:dyDescent="0.25">
      <c r="A41" t="s">
        <v>123</v>
      </c>
      <c r="B41" t="s">
        <v>24</v>
      </c>
      <c r="C41">
        <v>2025</v>
      </c>
      <c r="D41" t="s">
        <v>14</v>
      </c>
      <c r="E41" t="s">
        <v>49</v>
      </c>
      <c r="H41" t="s">
        <v>364</v>
      </c>
    </row>
    <row r="42" spans="1:8" x14ac:dyDescent="0.25">
      <c r="A42" t="s">
        <v>125</v>
      </c>
      <c r="B42" t="s">
        <v>24</v>
      </c>
      <c r="C42">
        <v>2025</v>
      </c>
      <c r="D42" t="s">
        <v>14</v>
      </c>
      <c r="E42" t="s">
        <v>49</v>
      </c>
      <c r="H42" t="s">
        <v>364</v>
      </c>
    </row>
    <row r="43" spans="1:8" x14ac:dyDescent="0.25">
      <c r="A43" t="s">
        <v>129</v>
      </c>
      <c r="B43" t="s">
        <v>24</v>
      </c>
      <c r="C43">
        <v>2024</v>
      </c>
      <c r="D43" t="s">
        <v>9</v>
      </c>
      <c r="E43" t="s">
        <v>130</v>
      </c>
      <c r="F43" t="str">
        <f t="shared" ref="F43:F44" si="5">PROPER(E43)</f>
        <v>Jurusan Keperawatan</v>
      </c>
      <c r="G43" t="s">
        <v>146</v>
      </c>
      <c r="H43" t="s">
        <v>360</v>
      </c>
    </row>
    <row r="44" spans="1:8" x14ac:dyDescent="0.25">
      <c r="A44" t="s">
        <v>132</v>
      </c>
      <c r="B44" t="s">
        <v>24</v>
      </c>
      <c r="C44">
        <v>2025</v>
      </c>
      <c r="D44" t="s">
        <v>9</v>
      </c>
      <c r="E44" t="s">
        <v>133</v>
      </c>
      <c r="F44" t="str">
        <f t="shared" si="5"/>
        <v>Smk (Kefarmasian)</v>
      </c>
      <c r="G44" t="s">
        <v>259</v>
      </c>
      <c r="H44" t="s">
        <v>360</v>
      </c>
    </row>
    <row r="45" spans="1:8" x14ac:dyDescent="0.25">
      <c r="A45" t="s">
        <v>135</v>
      </c>
      <c r="B45" t="s">
        <v>24</v>
      </c>
      <c r="C45">
        <v>2024</v>
      </c>
      <c r="D45" t="s">
        <v>14</v>
      </c>
      <c r="E45" t="s">
        <v>15</v>
      </c>
      <c r="H45" t="s">
        <v>365</v>
      </c>
    </row>
    <row r="46" spans="1:8" x14ac:dyDescent="0.25">
      <c r="A46" t="s">
        <v>137</v>
      </c>
      <c r="B46" t="s">
        <v>8</v>
      </c>
      <c r="C46">
        <v>2024</v>
      </c>
      <c r="D46" t="s">
        <v>14</v>
      </c>
      <c r="E46" t="s">
        <v>15</v>
      </c>
      <c r="H46" t="s">
        <v>365</v>
      </c>
    </row>
    <row r="47" spans="1:8" x14ac:dyDescent="0.25">
      <c r="A47" t="s">
        <v>139</v>
      </c>
      <c r="B47" t="s">
        <v>8</v>
      </c>
      <c r="C47">
        <v>2023</v>
      </c>
      <c r="D47" t="s">
        <v>9</v>
      </c>
      <c r="E47" t="s">
        <v>140</v>
      </c>
      <c r="F47" t="str">
        <f t="shared" ref="F47:F51" si="6">PROPER(E47)</f>
        <v>Teknik Sepeda Motor</v>
      </c>
      <c r="G47" t="s">
        <v>100</v>
      </c>
      <c r="H47" t="s">
        <v>363</v>
      </c>
    </row>
    <row r="48" spans="1:8" x14ac:dyDescent="0.25">
      <c r="A48" t="s">
        <v>142</v>
      </c>
      <c r="B48" t="s">
        <v>8</v>
      </c>
      <c r="C48">
        <v>2025</v>
      </c>
      <c r="D48" t="s">
        <v>9</v>
      </c>
      <c r="E48" t="s">
        <v>143</v>
      </c>
      <c r="F48" t="str">
        <f t="shared" si="6"/>
        <v>Agribisnis Perikanan Air Tawar</v>
      </c>
      <c r="G48" t="s">
        <v>344</v>
      </c>
      <c r="H48" t="s">
        <v>357</v>
      </c>
    </row>
    <row r="49" spans="1:8" x14ac:dyDescent="0.25">
      <c r="A49" t="s">
        <v>145</v>
      </c>
      <c r="B49" t="s">
        <v>24</v>
      </c>
      <c r="C49">
        <v>2024</v>
      </c>
      <c r="D49" t="s">
        <v>9</v>
      </c>
      <c r="E49" t="s">
        <v>146</v>
      </c>
      <c r="F49" t="str">
        <f t="shared" si="6"/>
        <v>Keperawatan</v>
      </c>
      <c r="G49" t="s">
        <v>146</v>
      </c>
      <c r="H49" t="s">
        <v>360</v>
      </c>
    </row>
    <row r="50" spans="1:8" x14ac:dyDescent="0.25">
      <c r="A50" t="s">
        <v>148</v>
      </c>
      <c r="B50" t="s">
        <v>8</v>
      </c>
      <c r="C50">
        <v>2024</v>
      </c>
      <c r="D50" t="s">
        <v>9</v>
      </c>
      <c r="E50" t="s">
        <v>149</v>
      </c>
      <c r="F50" t="str">
        <f t="shared" si="6"/>
        <v>Rekayasa Perangkat Lunak</v>
      </c>
      <c r="G50" t="s">
        <v>345</v>
      </c>
      <c r="H50" t="s">
        <v>356</v>
      </c>
    </row>
    <row r="51" spans="1:8" x14ac:dyDescent="0.25">
      <c r="A51" t="s">
        <v>151</v>
      </c>
      <c r="B51" t="s">
        <v>24</v>
      </c>
      <c r="C51">
        <v>2025</v>
      </c>
      <c r="D51" t="s">
        <v>9</v>
      </c>
      <c r="E51" t="s">
        <v>152</v>
      </c>
      <c r="F51" t="str">
        <f t="shared" si="6"/>
        <v>Layanan Perbankan</v>
      </c>
      <c r="G51" t="s">
        <v>346</v>
      </c>
      <c r="H51" t="s">
        <v>358</v>
      </c>
    </row>
    <row r="52" spans="1:8" x14ac:dyDescent="0.25">
      <c r="A52" t="s">
        <v>154</v>
      </c>
      <c r="B52" t="s">
        <v>24</v>
      </c>
      <c r="C52">
        <v>2024</v>
      </c>
      <c r="D52" t="s">
        <v>14</v>
      </c>
      <c r="E52" t="s">
        <v>49</v>
      </c>
      <c r="H52" t="s">
        <v>364</v>
      </c>
    </row>
    <row r="53" spans="1:8" x14ac:dyDescent="0.25">
      <c r="A53" t="s">
        <v>156</v>
      </c>
      <c r="B53" t="s">
        <v>24</v>
      </c>
      <c r="C53">
        <v>2025</v>
      </c>
      <c r="D53" t="s">
        <v>9</v>
      </c>
      <c r="E53" t="s">
        <v>157</v>
      </c>
      <c r="F53" t="str">
        <f t="shared" ref="F53:F55" si="7">PROPER(E53)</f>
        <v>Perhotelan</v>
      </c>
      <c r="G53" t="s">
        <v>347</v>
      </c>
      <c r="H53" t="s">
        <v>361</v>
      </c>
    </row>
    <row r="54" spans="1:8" x14ac:dyDescent="0.25">
      <c r="A54" t="s">
        <v>159</v>
      </c>
      <c r="B54" t="s">
        <v>24</v>
      </c>
      <c r="C54">
        <v>2024</v>
      </c>
      <c r="D54" t="s">
        <v>9</v>
      </c>
      <c r="E54" t="s">
        <v>37</v>
      </c>
      <c r="F54" t="str">
        <f t="shared" si="7"/>
        <v>Desain Pemodelan Dan Informasi Bangunan</v>
      </c>
      <c r="G54" t="s">
        <v>37</v>
      </c>
      <c r="H54" t="s">
        <v>359</v>
      </c>
    </row>
    <row r="55" spans="1:8" x14ac:dyDescent="0.25">
      <c r="A55" t="s">
        <v>161</v>
      </c>
      <c r="B55" t="s">
        <v>24</v>
      </c>
      <c r="C55">
        <v>2025</v>
      </c>
      <c r="D55" t="s">
        <v>9</v>
      </c>
      <c r="E55" t="s">
        <v>162</v>
      </c>
      <c r="F55" t="str">
        <f t="shared" si="7"/>
        <v>Desain Permodelan Dan Informasi Bangunan</v>
      </c>
      <c r="G55" t="s">
        <v>37</v>
      </c>
      <c r="H55" t="s">
        <v>359</v>
      </c>
    </row>
    <row r="56" spans="1:8" x14ac:dyDescent="0.25">
      <c r="A56" t="s">
        <v>164</v>
      </c>
      <c r="B56" t="s">
        <v>24</v>
      </c>
      <c r="C56">
        <v>2024</v>
      </c>
      <c r="D56" t="s">
        <v>14</v>
      </c>
      <c r="E56" t="s">
        <v>49</v>
      </c>
      <c r="H56" t="s">
        <v>364</v>
      </c>
    </row>
    <row r="57" spans="1:8" x14ac:dyDescent="0.25">
      <c r="A57" t="s">
        <v>167</v>
      </c>
      <c r="B57" t="s">
        <v>24</v>
      </c>
      <c r="C57">
        <v>2024</v>
      </c>
      <c r="D57" t="s">
        <v>9</v>
      </c>
      <c r="E57" t="s">
        <v>169</v>
      </c>
      <c r="F57" t="str">
        <f t="shared" ref="F57:F59" si="8">PROPER(E57)</f>
        <v>Akuntansi</v>
      </c>
      <c r="G57" t="s">
        <v>342</v>
      </c>
      <c r="H57" t="s">
        <v>358</v>
      </c>
    </row>
    <row r="58" spans="1:8" x14ac:dyDescent="0.25">
      <c r="A58" t="s">
        <v>171</v>
      </c>
      <c r="B58" t="s">
        <v>8</v>
      </c>
      <c r="C58">
        <v>2025</v>
      </c>
      <c r="D58" t="s">
        <v>9</v>
      </c>
      <c r="E58" t="s">
        <v>172</v>
      </c>
      <c r="F58" t="str">
        <f t="shared" si="8"/>
        <v>Teknik Komputar Jaringan</v>
      </c>
      <c r="G58" t="s">
        <v>351</v>
      </c>
      <c r="H58" t="s">
        <v>356</v>
      </c>
    </row>
    <row r="59" spans="1:8" x14ac:dyDescent="0.25">
      <c r="A59" t="s">
        <v>174</v>
      </c>
      <c r="B59" t="s">
        <v>8</v>
      </c>
      <c r="C59">
        <v>2025</v>
      </c>
      <c r="D59" t="s">
        <v>9</v>
      </c>
      <c r="E59" t="s">
        <v>175</v>
      </c>
      <c r="F59" t="str">
        <f t="shared" si="8"/>
        <v>Teknik Sepeda Motor</v>
      </c>
      <c r="G59" t="s">
        <v>100</v>
      </c>
      <c r="H59" t="s">
        <v>363</v>
      </c>
    </row>
    <row r="60" spans="1:8" x14ac:dyDescent="0.25">
      <c r="A60" t="s">
        <v>177</v>
      </c>
      <c r="B60" t="s">
        <v>24</v>
      </c>
      <c r="C60">
        <v>2024</v>
      </c>
      <c r="D60" t="s">
        <v>14</v>
      </c>
      <c r="E60" t="s">
        <v>15</v>
      </c>
      <c r="H60" t="s">
        <v>365</v>
      </c>
    </row>
    <row r="61" spans="1:8" x14ac:dyDescent="0.25">
      <c r="A61" t="s">
        <v>179</v>
      </c>
      <c r="B61" t="s">
        <v>8</v>
      </c>
      <c r="C61">
        <v>2025</v>
      </c>
      <c r="D61" t="s">
        <v>14</v>
      </c>
      <c r="E61" t="s">
        <v>15</v>
      </c>
      <c r="H61" t="s">
        <v>365</v>
      </c>
    </row>
    <row r="62" spans="1:8" x14ac:dyDescent="0.25">
      <c r="A62" t="s">
        <v>181</v>
      </c>
      <c r="B62" t="s">
        <v>24</v>
      </c>
      <c r="C62">
        <v>2025</v>
      </c>
      <c r="D62" t="s">
        <v>14</v>
      </c>
      <c r="E62" t="s">
        <v>15</v>
      </c>
      <c r="H62" t="s">
        <v>365</v>
      </c>
    </row>
    <row r="63" spans="1:8" x14ac:dyDescent="0.25">
      <c r="A63" t="s">
        <v>183</v>
      </c>
      <c r="B63" t="s">
        <v>24</v>
      </c>
      <c r="C63">
        <v>2025</v>
      </c>
      <c r="D63" t="s">
        <v>14</v>
      </c>
      <c r="E63" t="s">
        <v>15</v>
      </c>
      <c r="H63" t="s">
        <v>365</v>
      </c>
    </row>
    <row r="64" spans="1:8" x14ac:dyDescent="0.25">
      <c r="A64" t="s">
        <v>187</v>
      </c>
      <c r="B64" t="s">
        <v>24</v>
      </c>
      <c r="C64">
        <v>2024</v>
      </c>
      <c r="D64" t="s">
        <v>14</v>
      </c>
      <c r="E64" t="s">
        <v>49</v>
      </c>
      <c r="H64" t="s">
        <v>364</v>
      </c>
    </row>
    <row r="65" spans="1:8" x14ac:dyDescent="0.25">
      <c r="A65" t="s">
        <v>190</v>
      </c>
      <c r="B65" t="s">
        <v>8</v>
      </c>
      <c r="C65">
        <v>2025</v>
      </c>
      <c r="D65" t="s">
        <v>14</v>
      </c>
      <c r="E65" t="s">
        <v>49</v>
      </c>
      <c r="H65" t="s">
        <v>364</v>
      </c>
    </row>
    <row r="66" spans="1:8" x14ac:dyDescent="0.25">
      <c r="A66" t="s">
        <v>192</v>
      </c>
      <c r="B66" t="s">
        <v>24</v>
      </c>
      <c r="C66">
        <v>2025</v>
      </c>
      <c r="D66" t="s">
        <v>14</v>
      </c>
      <c r="E66" t="s">
        <v>49</v>
      </c>
      <c r="H66" t="s">
        <v>364</v>
      </c>
    </row>
    <row r="67" spans="1:8" x14ac:dyDescent="0.25">
      <c r="A67" t="s">
        <v>194</v>
      </c>
      <c r="B67" t="s">
        <v>24</v>
      </c>
      <c r="C67">
        <v>2025</v>
      </c>
      <c r="D67" t="s">
        <v>14</v>
      </c>
      <c r="E67" t="s">
        <v>49</v>
      </c>
      <c r="H67" t="s">
        <v>364</v>
      </c>
    </row>
    <row r="68" spans="1:8" x14ac:dyDescent="0.25">
      <c r="A68" t="s">
        <v>198</v>
      </c>
      <c r="B68" t="s">
        <v>8</v>
      </c>
      <c r="C68">
        <v>2025</v>
      </c>
      <c r="D68" t="s">
        <v>9</v>
      </c>
      <c r="E68" t="s">
        <v>199</v>
      </c>
      <c r="F68" t="str">
        <f>PROPER(E68)</f>
        <v>Teknik Komputer Dan Jaringan (Tkj)</v>
      </c>
      <c r="G68" t="s">
        <v>351</v>
      </c>
      <c r="H68" t="s">
        <v>356</v>
      </c>
    </row>
    <row r="69" spans="1:8" x14ac:dyDescent="0.25">
      <c r="A69" t="s">
        <v>201</v>
      </c>
      <c r="B69" t="s">
        <v>24</v>
      </c>
      <c r="C69">
        <v>2025</v>
      </c>
      <c r="D69" t="s">
        <v>14</v>
      </c>
      <c r="E69" t="s">
        <v>15</v>
      </c>
      <c r="H69" t="s">
        <v>365</v>
      </c>
    </row>
    <row r="70" spans="1:8" x14ac:dyDescent="0.25">
      <c r="A70" t="s">
        <v>203</v>
      </c>
      <c r="B70" t="s">
        <v>8</v>
      </c>
      <c r="C70">
        <v>2024</v>
      </c>
      <c r="D70" t="s">
        <v>9</v>
      </c>
      <c r="E70" t="s">
        <v>204</v>
      </c>
      <c r="F70" t="str">
        <f t="shared" ref="F70:F72" si="9">PROPER(E70)</f>
        <v>Teknik Komputer Dan Jaringan</v>
      </c>
      <c r="G70" t="s">
        <v>351</v>
      </c>
      <c r="H70" t="s">
        <v>356</v>
      </c>
    </row>
    <row r="71" spans="1:8" x14ac:dyDescent="0.25">
      <c r="A71" t="s">
        <v>206</v>
      </c>
      <c r="B71" t="s">
        <v>24</v>
      </c>
      <c r="C71">
        <v>2025</v>
      </c>
      <c r="D71" t="s">
        <v>9</v>
      </c>
      <c r="E71" t="s">
        <v>207</v>
      </c>
      <c r="F71" t="str">
        <f t="shared" si="9"/>
        <v>Smkn 1 Kuningan : Desain Komunikasi Visual (Dkv</v>
      </c>
      <c r="G71" t="s">
        <v>52</v>
      </c>
      <c r="H71" t="s">
        <v>356</v>
      </c>
    </row>
    <row r="72" spans="1:8" x14ac:dyDescent="0.25">
      <c r="A72" t="s">
        <v>209</v>
      </c>
      <c r="B72" t="s">
        <v>8</v>
      </c>
      <c r="C72">
        <v>2025</v>
      </c>
      <c r="D72" t="s">
        <v>9</v>
      </c>
      <c r="E72" t="s">
        <v>100</v>
      </c>
      <c r="F72" t="str">
        <f t="shared" si="9"/>
        <v>Teknik Sepeda Motor</v>
      </c>
      <c r="G72" t="s">
        <v>100</v>
      </c>
      <c r="H72" t="s">
        <v>363</v>
      </c>
    </row>
    <row r="73" spans="1:8" x14ac:dyDescent="0.25">
      <c r="A73" t="s">
        <v>211</v>
      </c>
      <c r="B73" t="s">
        <v>24</v>
      </c>
      <c r="C73">
        <v>2025</v>
      </c>
      <c r="D73" t="s">
        <v>14</v>
      </c>
      <c r="E73" t="s">
        <v>15</v>
      </c>
      <c r="H73" t="s">
        <v>365</v>
      </c>
    </row>
    <row r="74" spans="1:8" x14ac:dyDescent="0.25">
      <c r="A74" t="s">
        <v>213</v>
      </c>
      <c r="B74" t="s">
        <v>8</v>
      </c>
      <c r="C74">
        <v>2023</v>
      </c>
      <c r="D74" t="s">
        <v>9</v>
      </c>
      <c r="E74" t="s">
        <v>140</v>
      </c>
      <c r="F74" t="str">
        <f>PROPER(E74)</f>
        <v>Teknik Sepeda Motor</v>
      </c>
      <c r="G74" t="s">
        <v>100</v>
      </c>
      <c r="H74" t="s">
        <v>363</v>
      </c>
    </row>
    <row r="75" spans="1:8" x14ac:dyDescent="0.25">
      <c r="A75" t="s">
        <v>215</v>
      </c>
      <c r="B75" t="s">
        <v>24</v>
      </c>
      <c r="C75">
        <v>2024</v>
      </c>
      <c r="D75" t="s">
        <v>14</v>
      </c>
      <c r="E75" t="s">
        <v>49</v>
      </c>
      <c r="H75" t="s">
        <v>364</v>
      </c>
    </row>
    <row r="76" spans="1:8" x14ac:dyDescent="0.25">
      <c r="A76" t="s">
        <v>217</v>
      </c>
      <c r="B76" t="s">
        <v>24</v>
      </c>
      <c r="C76">
        <v>2023</v>
      </c>
      <c r="D76" t="s">
        <v>9</v>
      </c>
      <c r="E76" t="s">
        <v>31</v>
      </c>
      <c r="F76" t="str">
        <f t="shared" ref="F76:F77" si="10">PROPER(E76)</f>
        <v>Pengembangan Perangkat Lunak Dan Gim</v>
      </c>
      <c r="G76" t="s">
        <v>31</v>
      </c>
      <c r="H76" t="s">
        <v>356</v>
      </c>
    </row>
    <row r="77" spans="1:8" x14ac:dyDescent="0.25">
      <c r="A77" t="s">
        <v>219</v>
      </c>
      <c r="B77" t="s">
        <v>24</v>
      </c>
      <c r="C77">
        <v>2024</v>
      </c>
      <c r="D77" t="s">
        <v>9</v>
      </c>
      <c r="E77" t="s">
        <v>220</v>
      </c>
      <c r="F77" t="str">
        <f t="shared" si="10"/>
        <v>Akuntansi Dan Keuangan Lembaga</v>
      </c>
      <c r="G77" t="s">
        <v>342</v>
      </c>
      <c r="H77" t="s">
        <v>358</v>
      </c>
    </row>
    <row r="78" spans="1:8" x14ac:dyDescent="0.25">
      <c r="A78" t="s">
        <v>222</v>
      </c>
      <c r="B78" t="s">
        <v>24</v>
      </c>
      <c r="C78">
        <v>2023</v>
      </c>
      <c r="D78" t="s">
        <v>14</v>
      </c>
      <c r="E78" t="s">
        <v>15</v>
      </c>
      <c r="H78" t="s">
        <v>365</v>
      </c>
    </row>
    <row r="79" spans="1:8" x14ac:dyDescent="0.25">
      <c r="A79" t="s">
        <v>224</v>
      </c>
      <c r="B79" t="s">
        <v>24</v>
      </c>
      <c r="C79">
        <v>2024</v>
      </c>
      <c r="D79" t="s">
        <v>14</v>
      </c>
      <c r="E79" t="s">
        <v>49</v>
      </c>
      <c r="H79" t="s">
        <v>364</v>
      </c>
    </row>
    <row r="80" spans="1:8" x14ac:dyDescent="0.25">
      <c r="A80" t="s">
        <v>226</v>
      </c>
      <c r="B80" t="s">
        <v>24</v>
      </c>
      <c r="C80">
        <v>2024</v>
      </c>
      <c r="D80" t="s">
        <v>9</v>
      </c>
      <c r="E80" t="s">
        <v>227</v>
      </c>
      <c r="F80" t="str">
        <f>PROPER(E80)</f>
        <v>Tata Boga</v>
      </c>
      <c r="G80" t="s">
        <v>348</v>
      </c>
      <c r="H80" t="s">
        <v>358</v>
      </c>
    </row>
    <row r="81" spans="1:8" x14ac:dyDescent="0.25">
      <c r="A81" t="s">
        <v>229</v>
      </c>
      <c r="B81" t="s">
        <v>24</v>
      </c>
      <c r="C81">
        <v>2024</v>
      </c>
      <c r="D81" t="s">
        <v>14</v>
      </c>
      <c r="E81" t="s">
        <v>49</v>
      </c>
      <c r="H81" t="s">
        <v>364</v>
      </c>
    </row>
    <row r="82" spans="1:8" x14ac:dyDescent="0.25">
      <c r="A82" t="s">
        <v>232</v>
      </c>
      <c r="B82" t="s">
        <v>24</v>
      </c>
      <c r="C82">
        <v>2024</v>
      </c>
      <c r="D82" t="s">
        <v>14</v>
      </c>
      <c r="E82" t="s">
        <v>49</v>
      </c>
      <c r="H82" t="s">
        <v>364</v>
      </c>
    </row>
    <row r="83" spans="1:8" x14ac:dyDescent="0.25">
      <c r="A83" t="s">
        <v>234</v>
      </c>
      <c r="B83" t="s">
        <v>8</v>
      </c>
      <c r="C83">
        <v>2024</v>
      </c>
      <c r="D83" t="s">
        <v>9</v>
      </c>
      <c r="E83" t="s">
        <v>31</v>
      </c>
      <c r="F83" t="str">
        <f>PROPER(E83)</f>
        <v>Pengembangan Perangkat Lunak Dan Gim</v>
      </c>
      <c r="G83" t="s">
        <v>31</v>
      </c>
      <c r="H83" t="s">
        <v>356</v>
      </c>
    </row>
    <row r="84" spans="1:8" x14ac:dyDescent="0.25">
      <c r="A84" t="s">
        <v>236</v>
      </c>
      <c r="B84" t="s">
        <v>24</v>
      </c>
      <c r="C84">
        <v>2025</v>
      </c>
      <c r="D84" t="s">
        <v>14</v>
      </c>
      <c r="E84" t="s">
        <v>49</v>
      </c>
      <c r="H84" t="s">
        <v>364</v>
      </c>
    </row>
    <row r="85" spans="1:8" x14ac:dyDescent="0.25">
      <c r="A85" t="s">
        <v>238</v>
      </c>
      <c r="B85" t="s">
        <v>24</v>
      </c>
      <c r="C85">
        <v>2024</v>
      </c>
      <c r="D85" t="s">
        <v>14</v>
      </c>
      <c r="E85" t="s">
        <v>49</v>
      </c>
      <c r="H85" t="s">
        <v>364</v>
      </c>
    </row>
    <row r="86" spans="1:8" x14ac:dyDescent="0.25">
      <c r="A86" t="s">
        <v>240</v>
      </c>
      <c r="B86" t="s">
        <v>24</v>
      </c>
      <c r="C86">
        <v>2024</v>
      </c>
      <c r="D86" t="s">
        <v>9</v>
      </c>
      <c r="E86" t="s">
        <v>241</v>
      </c>
      <c r="F86" t="str">
        <f>PROPER(E86)</f>
        <v>Desain Komunikasi Visual</v>
      </c>
      <c r="G86" t="s">
        <v>52</v>
      </c>
      <c r="H86" t="s">
        <v>356</v>
      </c>
    </row>
    <row r="87" spans="1:8" x14ac:dyDescent="0.25">
      <c r="A87" t="s">
        <v>243</v>
      </c>
      <c r="B87" t="s">
        <v>24</v>
      </c>
      <c r="C87">
        <v>2024</v>
      </c>
      <c r="D87" t="s">
        <v>14</v>
      </c>
      <c r="E87" t="s">
        <v>49</v>
      </c>
      <c r="H87" t="s">
        <v>364</v>
      </c>
    </row>
    <row r="88" spans="1:8" x14ac:dyDescent="0.25">
      <c r="A88" t="s">
        <v>245</v>
      </c>
      <c r="B88" t="s">
        <v>24</v>
      </c>
      <c r="C88">
        <v>2024</v>
      </c>
      <c r="D88" t="s">
        <v>9</v>
      </c>
      <c r="E88" t="s">
        <v>146</v>
      </c>
      <c r="F88" t="str">
        <f>PROPER(E88)</f>
        <v>Keperawatan</v>
      </c>
      <c r="G88" t="s">
        <v>146</v>
      </c>
      <c r="H88" t="s">
        <v>360</v>
      </c>
    </row>
    <row r="89" spans="1:8" x14ac:dyDescent="0.25">
      <c r="A89" t="s">
        <v>247</v>
      </c>
      <c r="B89" t="s">
        <v>24</v>
      </c>
      <c r="C89">
        <v>2024</v>
      </c>
      <c r="D89" t="s">
        <v>14</v>
      </c>
      <c r="E89" t="s">
        <v>49</v>
      </c>
      <c r="H89" t="s">
        <v>364</v>
      </c>
    </row>
    <row r="90" spans="1:8" x14ac:dyDescent="0.25">
      <c r="A90" t="s">
        <v>249</v>
      </c>
      <c r="B90" t="s">
        <v>8</v>
      </c>
      <c r="C90">
        <v>2024</v>
      </c>
      <c r="D90" t="s">
        <v>9</v>
      </c>
      <c r="E90" t="s">
        <v>250</v>
      </c>
      <c r="F90" t="str">
        <f>PROPER(E90)</f>
        <v>Teknik Sepedah Motor</v>
      </c>
      <c r="G90" t="s">
        <v>100</v>
      </c>
      <c r="H90" t="s">
        <v>363</v>
      </c>
    </row>
    <row r="91" spans="1:8" x14ac:dyDescent="0.25">
      <c r="A91" t="s">
        <v>252</v>
      </c>
      <c r="B91" t="s">
        <v>24</v>
      </c>
      <c r="C91">
        <v>2024</v>
      </c>
      <c r="D91" t="s">
        <v>14</v>
      </c>
      <c r="E91" t="s">
        <v>49</v>
      </c>
      <c r="H91" t="s">
        <v>364</v>
      </c>
    </row>
    <row r="92" spans="1:8" x14ac:dyDescent="0.25">
      <c r="A92" t="s">
        <v>254</v>
      </c>
      <c r="B92" t="s">
        <v>8</v>
      </c>
      <c r="C92">
        <v>2022</v>
      </c>
      <c r="D92" t="s">
        <v>9</v>
      </c>
      <c r="E92" t="s">
        <v>116</v>
      </c>
      <c r="F92" t="str">
        <f t="shared" ref="F92:F95" si="11">PROPER(E92)</f>
        <v>Tbsm</v>
      </c>
      <c r="G92" t="s">
        <v>353</v>
      </c>
      <c r="H92" t="s">
        <v>358</v>
      </c>
    </row>
    <row r="93" spans="1:8" x14ac:dyDescent="0.25">
      <c r="A93" t="s">
        <v>256</v>
      </c>
      <c r="B93" t="s">
        <v>8</v>
      </c>
      <c r="C93">
        <v>2024</v>
      </c>
      <c r="D93" t="s">
        <v>9</v>
      </c>
      <c r="E93" t="s">
        <v>37</v>
      </c>
      <c r="F93" t="str">
        <f t="shared" si="11"/>
        <v>Desain Pemodelan Dan Informasi Bangunan</v>
      </c>
      <c r="G93" t="s">
        <v>37</v>
      </c>
      <c r="H93" t="s">
        <v>359</v>
      </c>
    </row>
    <row r="94" spans="1:8" x14ac:dyDescent="0.25">
      <c r="A94" t="s">
        <v>258</v>
      </c>
      <c r="B94" t="s">
        <v>24</v>
      </c>
      <c r="C94">
        <v>2024</v>
      </c>
      <c r="D94" t="s">
        <v>9</v>
      </c>
      <c r="E94" t="s">
        <v>259</v>
      </c>
      <c r="F94" t="str">
        <f t="shared" si="11"/>
        <v>Farmasi</v>
      </c>
      <c r="G94" t="s">
        <v>259</v>
      </c>
      <c r="H94" t="s">
        <v>360</v>
      </c>
    </row>
    <row r="95" spans="1:8" x14ac:dyDescent="0.25">
      <c r="A95" t="s">
        <v>261</v>
      </c>
      <c r="B95" t="s">
        <v>8</v>
      </c>
      <c r="C95">
        <v>2024</v>
      </c>
      <c r="D95" t="s">
        <v>9</v>
      </c>
      <c r="E95" t="s">
        <v>262</v>
      </c>
      <c r="F95" t="str">
        <f t="shared" si="11"/>
        <v>Teknik Pemesinan</v>
      </c>
      <c r="G95" t="s">
        <v>349</v>
      </c>
      <c r="H95" t="s">
        <v>366</v>
      </c>
    </row>
    <row r="96" spans="1:8" x14ac:dyDescent="0.25">
      <c r="A96" t="s">
        <v>264</v>
      </c>
      <c r="B96" t="s">
        <v>8</v>
      </c>
      <c r="C96">
        <v>2024</v>
      </c>
      <c r="D96" t="s">
        <v>14</v>
      </c>
      <c r="E96" t="s">
        <v>49</v>
      </c>
      <c r="H96" t="s">
        <v>364</v>
      </c>
    </row>
    <row r="97" spans="1:8" x14ac:dyDescent="0.25">
      <c r="A97" t="s">
        <v>266</v>
      </c>
      <c r="B97" t="s">
        <v>24</v>
      </c>
      <c r="C97">
        <v>2024</v>
      </c>
      <c r="D97" t="s">
        <v>14</v>
      </c>
      <c r="E97" t="s">
        <v>15</v>
      </c>
      <c r="H97" t="s">
        <v>365</v>
      </c>
    </row>
    <row r="98" spans="1:8" x14ac:dyDescent="0.25">
      <c r="A98" t="s">
        <v>268</v>
      </c>
      <c r="B98" t="s">
        <v>8</v>
      </c>
      <c r="C98">
        <v>2024</v>
      </c>
      <c r="D98" t="s">
        <v>9</v>
      </c>
      <c r="E98" t="s">
        <v>52</v>
      </c>
      <c r="F98" t="str">
        <f t="shared" ref="F98:F102" si="12">PROPER(E98)</f>
        <v>Desain Komunikasi Visual</v>
      </c>
      <c r="G98" t="s">
        <v>52</v>
      </c>
      <c r="H98" t="s">
        <v>356</v>
      </c>
    </row>
    <row r="99" spans="1:8" x14ac:dyDescent="0.25">
      <c r="A99" t="s">
        <v>270</v>
      </c>
      <c r="B99" t="s">
        <v>8</v>
      </c>
      <c r="C99">
        <v>2024</v>
      </c>
      <c r="D99" t="s">
        <v>9</v>
      </c>
      <c r="E99" t="s">
        <v>271</v>
      </c>
      <c r="F99" t="str">
        <f t="shared" si="12"/>
        <v>Teknik Kendaraan Ringgan</v>
      </c>
      <c r="G99" t="s">
        <v>340</v>
      </c>
      <c r="H99" t="s">
        <v>363</v>
      </c>
    </row>
    <row r="100" spans="1:8" x14ac:dyDescent="0.25">
      <c r="A100" t="s">
        <v>273</v>
      </c>
      <c r="B100" t="s">
        <v>24</v>
      </c>
      <c r="C100">
        <v>2024</v>
      </c>
      <c r="D100" t="s">
        <v>9</v>
      </c>
      <c r="E100" t="s">
        <v>274</v>
      </c>
      <c r="F100" t="str">
        <f t="shared" si="12"/>
        <v>Rekayasa Perangkat Lunak</v>
      </c>
      <c r="G100" t="s">
        <v>345</v>
      </c>
      <c r="H100" t="s">
        <v>356</v>
      </c>
    </row>
    <row r="101" spans="1:8" x14ac:dyDescent="0.25">
      <c r="A101" t="s">
        <v>276</v>
      </c>
      <c r="B101" t="s">
        <v>8</v>
      </c>
      <c r="C101">
        <v>2023</v>
      </c>
      <c r="D101" t="s">
        <v>9</v>
      </c>
      <c r="E101" t="s">
        <v>199</v>
      </c>
      <c r="F101" t="str">
        <f t="shared" si="12"/>
        <v>Teknik Komputer Dan Jaringan (Tkj)</v>
      </c>
      <c r="G101" t="s">
        <v>351</v>
      </c>
      <c r="H101" t="s">
        <v>356</v>
      </c>
    </row>
    <row r="102" spans="1:8" x14ac:dyDescent="0.25">
      <c r="A102" t="s">
        <v>278</v>
      </c>
      <c r="B102" t="s">
        <v>8</v>
      </c>
      <c r="C102">
        <v>2023</v>
      </c>
      <c r="D102" t="s">
        <v>9</v>
      </c>
      <c r="E102" t="s">
        <v>279</v>
      </c>
      <c r="F102" t="str">
        <f t="shared" si="12"/>
        <v>Teknik Instalasi Tenaga Listrik</v>
      </c>
      <c r="G102" t="s">
        <v>279</v>
      </c>
      <c r="H102" t="s">
        <v>362</v>
      </c>
    </row>
    <row r="103" spans="1:8" x14ac:dyDescent="0.25">
      <c r="A103" t="s">
        <v>281</v>
      </c>
      <c r="B103" t="s">
        <v>24</v>
      </c>
      <c r="C103">
        <v>2024</v>
      </c>
      <c r="D103" t="s">
        <v>14</v>
      </c>
      <c r="E103" t="s">
        <v>49</v>
      </c>
      <c r="H103" t="s">
        <v>364</v>
      </c>
    </row>
    <row r="104" spans="1:8" x14ac:dyDescent="0.25">
      <c r="A104" t="s">
        <v>283</v>
      </c>
      <c r="B104" t="s">
        <v>24</v>
      </c>
      <c r="C104">
        <v>2025</v>
      </c>
      <c r="D104" t="s">
        <v>9</v>
      </c>
      <c r="E104" t="s">
        <v>284</v>
      </c>
      <c r="F104" t="str">
        <f t="shared" ref="F104:F106" si="13">PROPER(E104)</f>
        <v>Jurusan Pemasaran</v>
      </c>
      <c r="G104" t="s">
        <v>299</v>
      </c>
      <c r="H104" t="s">
        <v>358</v>
      </c>
    </row>
    <row r="105" spans="1:8" x14ac:dyDescent="0.25">
      <c r="A105" t="s">
        <v>286</v>
      </c>
      <c r="B105" t="s">
        <v>24</v>
      </c>
      <c r="C105">
        <v>2024</v>
      </c>
      <c r="D105" t="s">
        <v>9</v>
      </c>
      <c r="E105" t="s">
        <v>287</v>
      </c>
      <c r="F105" t="str">
        <f t="shared" si="13"/>
        <v>Kelas Khusus Axioo Class Program</v>
      </c>
      <c r="G105" t="s">
        <v>351</v>
      </c>
      <c r="H105" t="s">
        <v>356</v>
      </c>
    </row>
    <row r="106" spans="1:8" x14ac:dyDescent="0.25">
      <c r="A106" t="s">
        <v>289</v>
      </c>
      <c r="B106" t="s">
        <v>24</v>
      </c>
      <c r="C106">
        <v>2024</v>
      </c>
      <c r="D106" t="s">
        <v>9</v>
      </c>
      <c r="E106" t="s">
        <v>290</v>
      </c>
      <c r="F106" t="str">
        <f t="shared" si="13"/>
        <v>Akuntansi Dan Keuangan Lembaga</v>
      </c>
      <c r="G106" t="s">
        <v>342</v>
      </c>
      <c r="H106" t="s">
        <v>358</v>
      </c>
    </row>
    <row r="107" spans="1:8" x14ac:dyDescent="0.25">
      <c r="A107" t="s">
        <v>292</v>
      </c>
      <c r="B107" t="s">
        <v>24</v>
      </c>
      <c r="C107">
        <v>2024</v>
      </c>
      <c r="D107" t="s">
        <v>14</v>
      </c>
      <c r="E107" t="s">
        <v>49</v>
      </c>
      <c r="H107" t="s">
        <v>364</v>
      </c>
    </row>
    <row r="108" spans="1:8" x14ac:dyDescent="0.25">
      <c r="A108" t="s">
        <v>294</v>
      </c>
      <c r="B108" t="s">
        <v>24</v>
      </c>
      <c r="C108">
        <v>2024</v>
      </c>
      <c r="D108" t="s">
        <v>9</v>
      </c>
      <c r="E108" t="s">
        <v>296</v>
      </c>
      <c r="F108" t="str">
        <f t="shared" ref="F108:F110" si="14">PROPER(E108)</f>
        <v>Smkn 3 Kuningan : Teknik Otamasi Industri</v>
      </c>
      <c r="G108" t="s">
        <v>18</v>
      </c>
      <c r="H108" t="s">
        <v>362</v>
      </c>
    </row>
    <row r="109" spans="1:8" x14ac:dyDescent="0.25">
      <c r="A109" t="s">
        <v>298</v>
      </c>
      <c r="B109" t="s">
        <v>24</v>
      </c>
      <c r="C109">
        <v>2025</v>
      </c>
      <c r="D109" t="s">
        <v>9</v>
      </c>
      <c r="E109" t="s">
        <v>299</v>
      </c>
      <c r="F109" t="str">
        <f t="shared" si="14"/>
        <v>Pemasaran</v>
      </c>
      <c r="G109" t="s">
        <v>299</v>
      </c>
      <c r="H109" t="s">
        <v>358</v>
      </c>
    </row>
    <row r="110" spans="1:8" x14ac:dyDescent="0.25">
      <c r="A110" t="s">
        <v>301</v>
      </c>
      <c r="B110" t="s">
        <v>24</v>
      </c>
      <c r="C110">
        <v>2025</v>
      </c>
      <c r="D110" t="s">
        <v>9</v>
      </c>
      <c r="E110" t="s">
        <v>302</v>
      </c>
      <c r="F110" t="str">
        <f t="shared" si="14"/>
        <v>Pemasaran / Bisnis Ritel</v>
      </c>
      <c r="G110" t="s">
        <v>299</v>
      </c>
      <c r="H110" t="s">
        <v>358</v>
      </c>
    </row>
    <row r="111" spans="1:8" x14ac:dyDescent="0.25">
      <c r="A111" t="s">
        <v>304</v>
      </c>
      <c r="B111" t="s">
        <v>8</v>
      </c>
      <c r="C111">
        <v>2024</v>
      </c>
      <c r="D111" t="s">
        <v>14</v>
      </c>
      <c r="E111" t="s">
        <v>15</v>
      </c>
      <c r="H111" t="s">
        <v>365</v>
      </c>
    </row>
    <row r="112" spans="1:8" x14ac:dyDescent="0.25">
      <c r="A112" t="s">
        <v>306</v>
      </c>
      <c r="B112" t="s">
        <v>24</v>
      </c>
      <c r="C112">
        <v>2024</v>
      </c>
      <c r="D112" t="s">
        <v>14</v>
      </c>
      <c r="E112" t="s">
        <v>15</v>
      </c>
      <c r="H112" t="s">
        <v>365</v>
      </c>
    </row>
    <row r="113" spans="1:8" x14ac:dyDescent="0.25">
      <c r="A113" t="s">
        <v>308</v>
      </c>
      <c r="B113" t="s">
        <v>8</v>
      </c>
      <c r="C113">
        <v>2024</v>
      </c>
      <c r="D113" t="s">
        <v>9</v>
      </c>
      <c r="E113" t="s">
        <v>309</v>
      </c>
      <c r="F113" t="str">
        <f>PROPER(E113)</f>
        <v>Teknik Ketenagalistrikan</v>
      </c>
      <c r="G113" t="s">
        <v>279</v>
      </c>
      <c r="H113" t="s">
        <v>362</v>
      </c>
    </row>
    <row r="114" spans="1:8" x14ac:dyDescent="0.25">
      <c r="A114" t="s">
        <v>311</v>
      </c>
      <c r="B114" t="s">
        <v>24</v>
      </c>
      <c r="C114">
        <v>2024</v>
      </c>
      <c r="D114" t="s">
        <v>14</v>
      </c>
      <c r="E114" t="s">
        <v>49</v>
      </c>
      <c r="H114" t="s">
        <v>364</v>
      </c>
    </row>
    <row r="115" spans="1:8" x14ac:dyDescent="0.25">
      <c r="A115" t="s">
        <v>313</v>
      </c>
      <c r="B115" t="s">
        <v>24</v>
      </c>
      <c r="C115">
        <v>2023</v>
      </c>
      <c r="D115" t="s">
        <v>9</v>
      </c>
      <c r="E115" t="s">
        <v>314</v>
      </c>
      <c r="F115" t="str">
        <f>PROPER(E115)</f>
        <v>Tjk</v>
      </c>
      <c r="G115" t="s">
        <v>351</v>
      </c>
      <c r="H115" t="s">
        <v>356</v>
      </c>
    </row>
    <row r="116" spans="1:8" x14ac:dyDescent="0.25">
      <c r="A116" t="s">
        <v>316</v>
      </c>
      <c r="B116" t="s">
        <v>24</v>
      </c>
      <c r="C116">
        <v>2024</v>
      </c>
      <c r="D116" t="s">
        <v>14</v>
      </c>
      <c r="E116" t="s">
        <v>49</v>
      </c>
      <c r="H116" t="s">
        <v>364</v>
      </c>
    </row>
    <row r="117" spans="1:8" x14ac:dyDescent="0.25">
      <c r="A117" t="s">
        <v>318</v>
      </c>
      <c r="B117" t="s">
        <v>8</v>
      </c>
      <c r="C117">
        <v>2025</v>
      </c>
      <c r="D117" t="s">
        <v>9</v>
      </c>
      <c r="E117" t="s">
        <v>319</v>
      </c>
      <c r="F117" t="str">
        <f t="shared" ref="F117:F118" si="15">PROPER(E117)</f>
        <v>Smk N 3 Kuningan (Toi)</v>
      </c>
      <c r="G117" t="s">
        <v>18</v>
      </c>
      <c r="H117" t="s">
        <v>362</v>
      </c>
    </row>
    <row r="118" spans="1:8" x14ac:dyDescent="0.25">
      <c r="A118" t="s">
        <v>321</v>
      </c>
      <c r="B118" t="s">
        <v>24</v>
      </c>
      <c r="C118">
        <v>2025</v>
      </c>
      <c r="D118" t="s">
        <v>9</v>
      </c>
      <c r="E118" t="s">
        <v>18</v>
      </c>
      <c r="F118" t="str">
        <f t="shared" si="15"/>
        <v>Teknik Otomasi Industri</v>
      </c>
      <c r="G118" t="s">
        <v>18</v>
      </c>
      <c r="H118" t="s">
        <v>362</v>
      </c>
    </row>
    <row r="119" spans="1:8" x14ac:dyDescent="0.25">
      <c r="A119" t="s">
        <v>323</v>
      </c>
      <c r="B119" t="s">
        <v>24</v>
      </c>
      <c r="C119">
        <v>2024</v>
      </c>
      <c r="D119" t="s">
        <v>14</v>
      </c>
      <c r="E119" t="s">
        <v>15</v>
      </c>
      <c r="H119" t="s">
        <v>365</v>
      </c>
    </row>
    <row r="120" spans="1:8" x14ac:dyDescent="0.25">
      <c r="A120" t="s">
        <v>325</v>
      </c>
      <c r="B120" t="s">
        <v>24</v>
      </c>
      <c r="C120">
        <v>2025</v>
      </c>
      <c r="D120" t="s">
        <v>14</v>
      </c>
      <c r="E120" t="s">
        <v>15</v>
      </c>
      <c r="H120" t="s">
        <v>365</v>
      </c>
    </row>
    <row r="121" spans="1:8" x14ac:dyDescent="0.25">
      <c r="A121" t="s">
        <v>327</v>
      </c>
      <c r="B121" t="s">
        <v>24</v>
      </c>
      <c r="C121">
        <v>2025</v>
      </c>
      <c r="D121" t="s">
        <v>14</v>
      </c>
      <c r="E121" t="s">
        <v>15</v>
      </c>
      <c r="H121" t="s">
        <v>365</v>
      </c>
    </row>
    <row r="122" spans="1:8" x14ac:dyDescent="0.25">
      <c r="A122" t="s">
        <v>329</v>
      </c>
      <c r="B122" t="s">
        <v>24</v>
      </c>
      <c r="C122">
        <v>2025</v>
      </c>
      <c r="D122" t="s">
        <v>14</v>
      </c>
      <c r="E122" t="s">
        <v>15</v>
      </c>
      <c r="H122" t="s">
        <v>365</v>
      </c>
    </row>
  </sheetData>
  <sheetProtection algorithmName="SHA-512" hashValue="3R68pFV+/9HVlURcuokeWO2ug4puow8Vn9mKIp7/wHHVTgYbDP/bPkk0MHOuAcTEnKSllAV/x2QARuJlAMqbjQ==" saltValue="x7f1FtZ5sMlT7w1J2KfVxw==" spinCount="100000" sheet="1" objects="1" scenarios="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22"/>
  <sheetViews>
    <sheetView workbookViewId="0">
      <selection activeCell="F10" sqref="F9:F10"/>
    </sheetView>
  </sheetViews>
  <sheetFormatPr defaultRowHeight="15.75" x14ac:dyDescent="0.25"/>
  <cols>
    <col min="5" max="5" width="43.5" bestFit="1" customWidth="1"/>
    <col min="6" max="6" width="9.625" bestFit="1" customWidth="1"/>
  </cols>
  <sheetData>
    <row r="1" spans="1:6" x14ac:dyDescent="0.25">
      <c r="A1" t="s">
        <v>1</v>
      </c>
      <c r="B1" t="s">
        <v>2</v>
      </c>
      <c r="C1" t="s">
        <v>3</v>
      </c>
      <c r="D1" t="s">
        <v>4</v>
      </c>
      <c r="E1" t="s">
        <v>367</v>
      </c>
      <c r="F1" t="s">
        <v>355</v>
      </c>
    </row>
    <row r="2" spans="1:6" x14ac:dyDescent="0.25">
      <c r="A2" t="s">
        <v>7</v>
      </c>
      <c r="B2" t="s">
        <v>8</v>
      </c>
      <c r="C2">
        <v>2025</v>
      </c>
      <c r="D2" t="s">
        <v>9</v>
      </c>
      <c r="E2" t="s">
        <v>375</v>
      </c>
      <c r="F2" t="s">
        <v>357</v>
      </c>
    </row>
    <row r="3" spans="1:6" x14ac:dyDescent="0.25">
      <c r="A3" t="s">
        <v>12</v>
      </c>
      <c r="B3" t="s">
        <v>8</v>
      </c>
      <c r="C3">
        <v>2025</v>
      </c>
      <c r="D3" t="s">
        <v>14</v>
      </c>
      <c r="E3" t="s">
        <v>15</v>
      </c>
      <c r="F3" t="s">
        <v>365</v>
      </c>
    </row>
    <row r="4" spans="1:6" x14ac:dyDescent="0.25">
      <c r="A4" t="s">
        <v>17</v>
      </c>
      <c r="B4" t="s">
        <v>8</v>
      </c>
      <c r="C4">
        <v>2025</v>
      </c>
      <c r="D4" t="s">
        <v>9</v>
      </c>
      <c r="E4" t="s">
        <v>18</v>
      </c>
      <c r="F4" t="s">
        <v>362</v>
      </c>
    </row>
    <row r="5" spans="1:6" x14ac:dyDescent="0.25">
      <c r="A5" t="s">
        <v>20</v>
      </c>
      <c r="B5" t="s">
        <v>8</v>
      </c>
      <c r="C5">
        <v>2025</v>
      </c>
      <c r="D5" t="s">
        <v>9</v>
      </c>
      <c r="E5" t="s">
        <v>340</v>
      </c>
      <c r="F5" t="s">
        <v>363</v>
      </c>
    </row>
    <row r="6" spans="1:6" x14ac:dyDescent="0.25">
      <c r="A6" t="s">
        <v>23</v>
      </c>
      <c r="B6" t="s">
        <v>24</v>
      </c>
      <c r="C6">
        <v>2025</v>
      </c>
      <c r="D6" t="s">
        <v>9</v>
      </c>
      <c r="E6" t="s">
        <v>341</v>
      </c>
      <c r="F6" t="s">
        <v>361</v>
      </c>
    </row>
    <row r="7" spans="1:6" x14ac:dyDescent="0.25">
      <c r="A7" t="s">
        <v>27</v>
      </c>
      <c r="B7" t="s">
        <v>24</v>
      </c>
      <c r="C7">
        <v>2025</v>
      </c>
      <c r="D7" t="s">
        <v>9</v>
      </c>
      <c r="E7" t="s">
        <v>342</v>
      </c>
      <c r="F7" t="s">
        <v>358</v>
      </c>
    </row>
    <row r="8" spans="1:6" x14ac:dyDescent="0.25">
      <c r="A8" t="s">
        <v>30</v>
      </c>
      <c r="B8" t="s">
        <v>8</v>
      </c>
      <c r="C8">
        <v>2025</v>
      </c>
      <c r="D8" t="s">
        <v>9</v>
      </c>
      <c r="E8" t="s">
        <v>31</v>
      </c>
      <c r="F8" t="s">
        <v>356</v>
      </c>
    </row>
    <row r="9" spans="1:6" x14ac:dyDescent="0.25">
      <c r="A9" t="s">
        <v>33</v>
      </c>
      <c r="B9" t="s">
        <v>24</v>
      </c>
      <c r="C9">
        <v>2025</v>
      </c>
      <c r="D9" t="s">
        <v>9</v>
      </c>
      <c r="E9" t="s">
        <v>37</v>
      </c>
      <c r="F9" t="s">
        <v>359</v>
      </c>
    </row>
    <row r="10" spans="1:6" x14ac:dyDescent="0.25">
      <c r="A10" t="s">
        <v>36</v>
      </c>
      <c r="B10" t="s">
        <v>24</v>
      </c>
      <c r="C10">
        <v>2025</v>
      </c>
      <c r="D10" t="s">
        <v>9</v>
      </c>
      <c r="E10" t="s">
        <v>37</v>
      </c>
      <c r="F10" t="s">
        <v>359</v>
      </c>
    </row>
    <row r="11" spans="1:6" x14ac:dyDescent="0.25">
      <c r="A11" t="s">
        <v>39</v>
      </c>
      <c r="B11" t="s">
        <v>24</v>
      </c>
      <c r="C11">
        <v>2025</v>
      </c>
      <c r="D11" t="s">
        <v>9</v>
      </c>
      <c r="E11" t="s">
        <v>40</v>
      </c>
      <c r="F11" t="s">
        <v>356</v>
      </c>
    </row>
    <row r="12" spans="1:6" x14ac:dyDescent="0.25">
      <c r="A12" t="s">
        <v>42</v>
      </c>
      <c r="B12" t="s">
        <v>24</v>
      </c>
      <c r="C12">
        <v>2025</v>
      </c>
      <c r="D12" t="s">
        <v>14</v>
      </c>
      <c r="E12" t="s">
        <v>15</v>
      </c>
      <c r="F12" t="s">
        <v>365</v>
      </c>
    </row>
    <row r="13" spans="1:6" x14ac:dyDescent="0.25">
      <c r="A13" t="s">
        <v>45</v>
      </c>
      <c r="B13" t="s">
        <v>8</v>
      </c>
      <c r="C13">
        <v>2025</v>
      </c>
      <c r="D13" t="s">
        <v>9</v>
      </c>
      <c r="E13" t="s">
        <v>351</v>
      </c>
      <c r="F13" t="s">
        <v>356</v>
      </c>
    </row>
    <row r="14" spans="1:6" x14ac:dyDescent="0.25">
      <c r="A14" t="s">
        <v>48</v>
      </c>
      <c r="B14" t="s">
        <v>24</v>
      </c>
      <c r="C14">
        <v>2025</v>
      </c>
      <c r="D14" t="s">
        <v>14</v>
      </c>
      <c r="E14" t="s">
        <v>49</v>
      </c>
      <c r="F14" t="s">
        <v>364</v>
      </c>
    </row>
    <row r="15" spans="1:6" x14ac:dyDescent="0.25">
      <c r="A15" t="s">
        <v>51</v>
      </c>
      <c r="B15" t="s">
        <v>8</v>
      </c>
      <c r="C15">
        <v>2025</v>
      </c>
      <c r="D15" t="s">
        <v>9</v>
      </c>
      <c r="E15" t="s">
        <v>52</v>
      </c>
      <c r="F15" t="s">
        <v>356</v>
      </c>
    </row>
    <row r="16" spans="1:6" x14ac:dyDescent="0.25">
      <c r="A16" t="s">
        <v>54</v>
      </c>
      <c r="B16" t="s">
        <v>24</v>
      </c>
      <c r="C16">
        <v>2025</v>
      </c>
      <c r="D16" t="s">
        <v>9</v>
      </c>
      <c r="E16" t="s">
        <v>279</v>
      </c>
      <c r="F16" t="s">
        <v>362</v>
      </c>
    </row>
    <row r="17" spans="1:6" x14ac:dyDescent="0.25">
      <c r="A17" t="s">
        <v>57</v>
      </c>
      <c r="B17" t="s">
        <v>24</v>
      </c>
      <c r="C17">
        <v>2025</v>
      </c>
      <c r="D17" t="s">
        <v>9</v>
      </c>
      <c r="E17" t="s">
        <v>351</v>
      </c>
      <c r="F17" t="s">
        <v>356</v>
      </c>
    </row>
    <row r="18" spans="1:6" x14ac:dyDescent="0.25">
      <c r="A18" t="s">
        <v>59</v>
      </c>
      <c r="B18" t="s">
        <v>8</v>
      </c>
      <c r="C18">
        <v>2025</v>
      </c>
      <c r="D18" t="s">
        <v>9</v>
      </c>
      <c r="E18" t="s">
        <v>100</v>
      </c>
      <c r="F18" t="s">
        <v>363</v>
      </c>
    </row>
    <row r="19" spans="1:6" x14ac:dyDescent="0.25">
      <c r="A19" t="s">
        <v>62</v>
      </c>
      <c r="B19" t="s">
        <v>24</v>
      </c>
      <c r="C19">
        <v>2025</v>
      </c>
      <c r="D19" t="s">
        <v>9</v>
      </c>
      <c r="E19" t="s">
        <v>352</v>
      </c>
      <c r="F19" t="s">
        <v>359</v>
      </c>
    </row>
    <row r="20" spans="1:6" x14ac:dyDescent="0.25">
      <c r="A20" t="s">
        <v>65</v>
      </c>
      <c r="B20" t="s">
        <v>24</v>
      </c>
      <c r="C20">
        <v>2025</v>
      </c>
      <c r="D20" t="s">
        <v>9</v>
      </c>
      <c r="E20" t="s">
        <v>352</v>
      </c>
      <c r="F20" t="s">
        <v>359</v>
      </c>
    </row>
    <row r="21" spans="1:6" x14ac:dyDescent="0.25">
      <c r="A21" t="s">
        <v>68</v>
      </c>
      <c r="B21" t="s">
        <v>24</v>
      </c>
      <c r="C21">
        <v>2025</v>
      </c>
      <c r="D21" t="s">
        <v>9</v>
      </c>
      <c r="E21" t="s">
        <v>342</v>
      </c>
      <c r="F21" t="s">
        <v>358</v>
      </c>
    </row>
    <row r="22" spans="1:6" x14ac:dyDescent="0.25">
      <c r="A22" t="s">
        <v>71</v>
      </c>
      <c r="B22" t="s">
        <v>8</v>
      </c>
      <c r="C22">
        <v>2025</v>
      </c>
      <c r="D22" t="s">
        <v>9</v>
      </c>
      <c r="E22" t="s">
        <v>343</v>
      </c>
      <c r="F22" t="s">
        <v>363</v>
      </c>
    </row>
    <row r="23" spans="1:6" x14ac:dyDescent="0.25">
      <c r="A23" t="s">
        <v>74</v>
      </c>
      <c r="B23" t="s">
        <v>24</v>
      </c>
      <c r="C23">
        <v>2025</v>
      </c>
      <c r="D23" t="s">
        <v>9</v>
      </c>
      <c r="E23" t="s">
        <v>351</v>
      </c>
      <c r="F23" t="s">
        <v>356</v>
      </c>
    </row>
    <row r="24" spans="1:6" x14ac:dyDescent="0.25">
      <c r="A24" t="s">
        <v>77</v>
      </c>
      <c r="B24" t="s">
        <v>24</v>
      </c>
      <c r="C24">
        <v>2025</v>
      </c>
      <c r="D24" t="s">
        <v>14</v>
      </c>
      <c r="E24" t="s">
        <v>15</v>
      </c>
      <c r="F24" t="s">
        <v>365</v>
      </c>
    </row>
    <row r="25" spans="1:6" x14ac:dyDescent="0.25">
      <c r="A25" t="s">
        <v>79</v>
      </c>
      <c r="B25" t="s">
        <v>8</v>
      </c>
      <c r="C25">
        <v>2025</v>
      </c>
      <c r="D25" t="s">
        <v>9</v>
      </c>
      <c r="E25" t="s">
        <v>340</v>
      </c>
      <c r="F25" t="s">
        <v>363</v>
      </c>
    </row>
    <row r="26" spans="1:6" x14ac:dyDescent="0.25">
      <c r="A26" t="s">
        <v>82</v>
      </c>
      <c r="B26" t="s">
        <v>24</v>
      </c>
      <c r="C26">
        <v>2025</v>
      </c>
      <c r="D26" t="s">
        <v>9</v>
      </c>
      <c r="E26" t="s">
        <v>40</v>
      </c>
      <c r="F26" t="s">
        <v>356</v>
      </c>
    </row>
    <row r="27" spans="1:6" x14ac:dyDescent="0.25">
      <c r="A27" t="s">
        <v>85</v>
      </c>
      <c r="B27" t="s">
        <v>8</v>
      </c>
      <c r="C27">
        <v>2025</v>
      </c>
      <c r="D27" t="s">
        <v>9</v>
      </c>
      <c r="E27" t="s">
        <v>100</v>
      </c>
      <c r="F27" t="s">
        <v>363</v>
      </c>
    </row>
    <row r="28" spans="1:6" x14ac:dyDescent="0.25">
      <c r="A28" t="s">
        <v>88</v>
      </c>
      <c r="B28" t="s">
        <v>8</v>
      </c>
      <c r="C28">
        <v>2025</v>
      </c>
      <c r="D28" t="s">
        <v>9</v>
      </c>
      <c r="E28" t="s">
        <v>349</v>
      </c>
      <c r="F28" t="s">
        <v>366</v>
      </c>
    </row>
    <row r="29" spans="1:6" x14ac:dyDescent="0.25">
      <c r="A29" t="s">
        <v>91</v>
      </c>
      <c r="B29" t="s">
        <v>8</v>
      </c>
      <c r="C29">
        <v>2022</v>
      </c>
      <c r="D29" t="s">
        <v>9</v>
      </c>
      <c r="E29" t="s">
        <v>349</v>
      </c>
      <c r="F29" t="s">
        <v>366</v>
      </c>
    </row>
    <row r="30" spans="1:6" x14ac:dyDescent="0.25">
      <c r="A30" t="s">
        <v>94</v>
      </c>
      <c r="B30" t="s">
        <v>8</v>
      </c>
      <c r="C30">
        <v>2025</v>
      </c>
      <c r="D30" t="s">
        <v>14</v>
      </c>
      <c r="E30" t="s">
        <v>15</v>
      </c>
      <c r="F30" t="s">
        <v>365</v>
      </c>
    </row>
    <row r="31" spans="1:6" x14ac:dyDescent="0.25">
      <c r="A31" t="s">
        <v>96</v>
      </c>
      <c r="B31" t="s">
        <v>8</v>
      </c>
      <c r="C31">
        <v>2025</v>
      </c>
      <c r="D31" t="s">
        <v>9</v>
      </c>
      <c r="E31" t="s">
        <v>40</v>
      </c>
      <c r="F31" t="s">
        <v>356</v>
      </c>
    </row>
    <row r="32" spans="1:6" x14ac:dyDescent="0.25">
      <c r="A32" t="s">
        <v>99</v>
      </c>
      <c r="B32" t="s">
        <v>8</v>
      </c>
      <c r="C32">
        <v>2025</v>
      </c>
      <c r="D32" t="s">
        <v>9</v>
      </c>
      <c r="E32" t="s">
        <v>100</v>
      </c>
      <c r="F32" t="s">
        <v>363</v>
      </c>
    </row>
    <row r="33" spans="1:6" x14ac:dyDescent="0.25">
      <c r="A33" t="s">
        <v>102</v>
      </c>
      <c r="B33" t="s">
        <v>8</v>
      </c>
      <c r="C33">
        <v>2024</v>
      </c>
      <c r="D33" t="s">
        <v>14</v>
      </c>
      <c r="E33" t="s">
        <v>49</v>
      </c>
      <c r="F33" t="s">
        <v>364</v>
      </c>
    </row>
    <row r="34" spans="1:6" x14ac:dyDescent="0.25">
      <c r="A34" t="s">
        <v>105</v>
      </c>
      <c r="B34" t="s">
        <v>8</v>
      </c>
      <c r="C34">
        <v>2024</v>
      </c>
      <c r="D34" t="s">
        <v>9</v>
      </c>
      <c r="E34" t="s">
        <v>349</v>
      </c>
      <c r="F34" t="s">
        <v>366</v>
      </c>
    </row>
    <row r="35" spans="1:6" x14ac:dyDescent="0.25">
      <c r="A35" t="s">
        <v>108</v>
      </c>
      <c r="B35" t="s">
        <v>8</v>
      </c>
      <c r="C35">
        <v>2025</v>
      </c>
      <c r="D35" t="s">
        <v>9</v>
      </c>
      <c r="E35" t="s">
        <v>100</v>
      </c>
      <c r="F35" t="s">
        <v>363</v>
      </c>
    </row>
    <row r="36" spans="1:6" x14ac:dyDescent="0.25">
      <c r="A36" t="s">
        <v>110</v>
      </c>
      <c r="B36" t="s">
        <v>8</v>
      </c>
      <c r="C36">
        <v>2024</v>
      </c>
      <c r="D36" t="s">
        <v>9</v>
      </c>
      <c r="E36" t="s">
        <v>40</v>
      </c>
      <c r="F36" t="s">
        <v>356</v>
      </c>
    </row>
    <row r="37" spans="1:6" x14ac:dyDescent="0.25">
      <c r="A37" t="s">
        <v>112</v>
      </c>
      <c r="B37" t="s">
        <v>8</v>
      </c>
      <c r="C37">
        <v>2023</v>
      </c>
      <c r="D37" t="s">
        <v>9</v>
      </c>
      <c r="E37" t="s">
        <v>340</v>
      </c>
      <c r="F37" t="s">
        <v>363</v>
      </c>
    </row>
    <row r="38" spans="1:6" x14ac:dyDescent="0.25">
      <c r="A38" t="s">
        <v>115</v>
      </c>
      <c r="B38" t="s">
        <v>8</v>
      </c>
      <c r="C38">
        <v>2024</v>
      </c>
      <c r="D38" t="s">
        <v>9</v>
      </c>
      <c r="E38" t="s">
        <v>353</v>
      </c>
      <c r="F38" t="s">
        <v>358</v>
      </c>
    </row>
    <row r="39" spans="1:6" x14ac:dyDescent="0.25">
      <c r="A39" t="s">
        <v>118</v>
      </c>
      <c r="B39" t="s">
        <v>8</v>
      </c>
      <c r="C39">
        <v>2025</v>
      </c>
      <c r="D39" t="s">
        <v>9</v>
      </c>
      <c r="E39" t="s">
        <v>52</v>
      </c>
      <c r="F39" t="s">
        <v>356</v>
      </c>
    </row>
    <row r="40" spans="1:6" x14ac:dyDescent="0.25">
      <c r="A40" t="s">
        <v>121</v>
      </c>
      <c r="B40" t="s">
        <v>8</v>
      </c>
      <c r="C40">
        <v>2025</v>
      </c>
      <c r="D40" t="s">
        <v>14</v>
      </c>
      <c r="E40" t="s">
        <v>49</v>
      </c>
      <c r="F40" t="s">
        <v>364</v>
      </c>
    </row>
    <row r="41" spans="1:6" x14ac:dyDescent="0.25">
      <c r="A41" t="s">
        <v>123</v>
      </c>
      <c r="B41" t="s">
        <v>24</v>
      </c>
      <c r="C41">
        <v>2025</v>
      </c>
      <c r="D41" t="s">
        <v>14</v>
      </c>
      <c r="E41" t="s">
        <v>49</v>
      </c>
      <c r="F41" t="s">
        <v>364</v>
      </c>
    </row>
    <row r="42" spans="1:6" x14ac:dyDescent="0.25">
      <c r="A42" t="s">
        <v>125</v>
      </c>
      <c r="B42" t="s">
        <v>24</v>
      </c>
      <c r="C42">
        <v>2025</v>
      </c>
      <c r="D42" t="s">
        <v>14</v>
      </c>
      <c r="E42" t="s">
        <v>49</v>
      </c>
      <c r="F42" t="s">
        <v>364</v>
      </c>
    </row>
    <row r="43" spans="1:6" x14ac:dyDescent="0.25">
      <c r="A43" t="s">
        <v>129</v>
      </c>
      <c r="B43" t="s">
        <v>24</v>
      </c>
      <c r="C43">
        <v>2024</v>
      </c>
      <c r="D43" t="s">
        <v>9</v>
      </c>
      <c r="E43" t="s">
        <v>146</v>
      </c>
      <c r="F43" t="s">
        <v>360</v>
      </c>
    </row>
    <row r="44" spans="1:6" x14ac:dyDescent="0.25">
      <c r="A44" t="s">
        <v>132</v>
      </c>
      <c r="B44" t="s">
        <v>24</v>
      </c>
      <c r="C44">
        <v>2025</v>
      </c>
      <c r="D44" t="s">
        <v>9</v>
      </c>
      <c r="E44" t="s">
        <v>259</v>
      </c>
      <c r="F44" t="s">
        <v>360</v>
      </c>
    </row>
    <row r="45" spans="1:6" x14ac:dyDescent="0.25">
      <c r="A45" t="s">
        <v>135</v>
      </c>
      <c r="B45" t="s">
        <v>24</v>
      </c>
      <c r="C45">
        <v>2024</v>
      </c>
      <c r="D45" t="s">
        <v>14</v>
      </c>
      <c r="E45" t="s">
        <v>15</v>
      </c>
      <c r="F45" t="s">
        <v>365</v>
      </c>
    </row>
    <row r="46" spans="1:6" x14ac:dyDescent="0.25">
      <c r="A46" t="s">
        <v>137</v>
      </c>
      <c r="B46" t="s">
        <v>8</v>
      </c>
      <c r="C46">
        <v>2024</v>
      </c>
      <c r="D46" t="s">
        <v>14</v>
      </c>
      <c r="E46" t="s">
        <v>15</v>
      </c>
      <c r="F46" t="s">
        <v>365</v>
      </c>
    </row>
    <row r="47" spans="1:6" x14ac:dyDescent="0.25">
      <c r="A47" t="s">
        <v>139</v>
      </c>
      <c r="B47" t="s">
        <v>8</v>
      </c>
      <c r="C47">
        <v>2023</v>
      </c>
      <c r="D47" t="s">
        <v>9</v>
      </c>
      <c r="E47" t="s">
        <v>100</v>
      </c>
      <c r="F47" t="s">
        <v>363</v>
      </c>
    </row>
    <row r="48" spans="1:6" x14ac:dyDescent="0.25">
      <c r="A48" t="s">
        <v>142</v>
      </c>
      <c r="B48" t="s">
        <v>8</v>
      </c>
      <c r="C48">
        <v>2025</v>
      </c>
      <c r="D48" t="s">
        <v>9</v>
      </c>
      <c r="E48" t="s">
        <v>344</v>
      </c>
      <c r="F48" t="s">
        <v>357</v>
      </c>
    </row>
    <row r="49" spans="1:6" x14ac:dyDescent="0.25">
      <c r="A49" t="s">
        <v>145</v>
      </c>
      <c r="B49" t="s">
        <v>24</v>
      </c>
      <c r="C49">
        <v>2024</v>
      </c>
      <c r="D49" t="s">
        <v>9</v>
      </c>
      <c r="E49" t="s">
        <v>146</v>
      </c>
      <c r="F49" t="s">
        <v>360</v>
      </c>
    </row>
    <row r="50" spans="1:6" x14ac:dyDescent="0.25">
      <c r="A50" t="s">
        <v>148</v>
      </c>
      <c r="B50" t="s">
        <v>8</v>
      </c>
      <c r="C50">
        <v>2024</v>
      </c>
      <c r="D50" t="s">
        <v>9</v>
      </c>
      <c r="E50" t="s">
        <v>345</v>
      </c>
      <c r="F50" t="s">
        <v>356</v>
      </c>
    </row>
    <row r="51" spans="1:6" x14ac:dyDescent="0.25">
      <c r="A51" t="s">
        <v>151</v>
      </c>
      <c r="B51" t="s">
        <v>24</v>
      </c>
      <c r="C51">
        <v>2025</v>
      </c>
      <c r="D51" t="s">
        <v>9</v>
      </c>
      <c r="E51" t="s">
        <v>346</v>
      </c>
      <c r="F51" t="s">
        <v>358</v>
      </c>
    </row>
    <row r="52" spans="1:6" x14ac:dyDescent="0.25">
      <c r="A52" t="s">
        <v>154</v>
      </c>
      <c r="B52" t="s">
        <v>24</v>
      </c>
      <c r="C52">
        <v>2024</v>
      </c>
      <c r="D52" t="s">
        <v>14</v>
      </c>
      <c r="E52" t="s">
        <v>49</v>
      </c>
      <c r="F52" t="s">
        <v>364</v>
      </c>
    </row>
    <row r="53" spans="1:6" x14ac:dyDescent="0.25">
      <c r="A53" t="s">
        <v>156</v>
      </c>
      <c r="B53" t="s">
        <v>24</v>
      </c>
      <c r="C53">
        <v>2025</v>
      </c>
      <c r="D53" t="s">
        <v>9</v>
      </c>
      <c r="E53" t="s">
        <v>347</v>
      </c>
      <c r="F53" t="s">
        <v>361</v>
      </c>
    </row>
    <row r="54" spans="1:6" x14ac:dyDescent="0.25">
      <c r="A54" t="s">
        <v>159</v>
      </c>
      <c r="B54" t="s">
        <v>24</v>
      </c>
      <c r="C54">
        <v>2024</v>
      </c>
      <c r="D54" t="s">
        <v>9</v>
      </c>
      <c r="E54" t="s">
        <v>37</v>
      </c>
      <c r="F54" t="s">
        <v>359</v>
      </c>
    </row>
    <row r="55" spans="1:6" x14ac:dyDescent="0.25">
      <c r="A55" t="s">
        <v>161</v>
      </c>
      <c r="B55" t="s">
        <v>24</v>
      </c>
      <c r="C55">
        <v>2025</v>
      </c>
      <c r="D55" t="s">
        <v>9</v>
      </c>
      <c r="E55" t="s">
        <v>37</v>
      </c>
      <c r="F55" t="s">
        <v>359</v>
      </c>
    </row>
    <row r="56" spans="1:6" x14ac:dyDescent="0.25">
      <c r="A56" t="s">
        <v>164</v>
      </c>
      <c r="B56" t="s">
        <v>24</v>
      </c>
      <c r="C56">
        <v>2024</v>
      </c>
      <c r="D56" t="s">
        <v>14</v>
      </c>
      <c r="E56" t="s">
        <v>49</v>
      </c>
      <c r="F56" t="s">
        <v>364</v>
      </c>
    </row>
    <row r="57" spans="1:6" x14ac:dyDescent="0.25">
      <c r="A57" t="s">
        <v>167</v>
      </c>
      <c r="B57" t="s">
        <v>24</v>
      </c>
      <c r="C57">
        <v>2024</v>
      </c>
      <c r="D57" t="s">
        <v>9</v>
      </c>
      <c r="E57" t="s">
        <v>342</v>
      </c>
      <c r="F57" t="s">
        <v>358</v>
      </c>
    </row>
    <row r="58" spans="1:6" x14ac:dyDescent="0.25">
      <c r="A58" t="s">
        <v>171</v>
      </c>
      <c r="B58" t="s">
        <v>8</v>
      </c>
      <c r="C58">
        <v>2025</v>
      </c>
      <c r="D58" t="s">
        <v>9</v>
      </c>
      <c r="E58" t="s">
        <v>351</v>
      </c>
      <c r="F58" t="s">
        <v>356</v>
      </c>
    </row>
    <row r="59" spans="1:6" x14ac:dyDescent="0.25">
      <c r="A59" t="s">
        <v>174</v>
      </c>
      <c r="B59" t="s">
        <v>8</v>
      </c>
      <c r="C59">
        <v>2025</v>
      </c>
      <c r="D59" t="s">
        <v>9</v>
      </c>
      <c r="E59" t="s">
        <v>100</v>
      </c>
      <c r="F59" t="s">
        <v>363</v>
      </c>
    </row>
    <row r="60" spans="1:6" x14ac:dyDescent="0.25">
      <c r="A60" t="s">
        <v>177</v>
      </c>
      <c r="B60" t="s">
        <v>24</v>
      </c>
      <c r="C60">
        <v>2024</v>
      </c>
      <c r="D60" t="s">
        <v>14</v>
      </c>
      <c r="E60" t="s">
        <v>15</v>
      </c>
      <c r="F60" t="s">
        <v>365</v>
      </c>
    </row>
    <row r="61" spans="1:6" x14ac:dyDescent="0.25">
      <c r="A61" t="s">
        <v>179</v>
      </c>
      <c r="B61" t="s">
        <v>8</v>
      </c>
      <c r="C61">
        <v>2025</v>
      </c>
      <c r="D61" t="s">
        <v>14</v>
      </c>
      <c r="E61" t="s">
        <v>15</v>
      </c>
      <c r="F61" t="s">
        <v>365</v>
      </c>
    </row>
    <row r="62" spans="1:6" x14ac:dyDescent="0.25">
      <c r="A62" t="s">
        <v>181</v>
      </c>
      <c r="B62" t="s">
        <v>24</v>
      </c>
      <c r="C62">
        <v>2025</v>
      </c>
      <c r="D62" t="s">
        <v>14</v>
      </c>
      <c r="E62" t="s">
        <v>15</v>
      </c>
      <c r="F62" t="s">
        <v>365</v>
      </c>
    </row>
    <row r="63" spans="1:6" x14ac:dyDescent="0.25">
      <c r="A63" t="s">
        <v>183</v>
      </c>
      <c r="B63" t="s">
        <v>24</v>
      </c>
      <c r="C63">
        <v>2025</v>
      </c>
      <c r="D63" t="s">
        <v>14</v>
      </c>
      <c r="E63" t="s">
        <v>15</v>
      </c>
      <c r="F63" t="s">
        <v>365</v>
      </c>
    </row>
    <row r="64" spans="1:6" x14ac:dyDescent="0.25">
      <c r="A64" t="s">
        <v>187</v>
      </c>
      <c r="B64" t="s">
        <v>24</v>
      </c>
      <c r="C64">
        <v>2024</v>
      </c>
      <c r="D64" t="s">
        <v>14</v>
      </c>
      <c r="E64" t="s">
        <v>49</v>
      </c>
      <c r="F64" t="s">
        <v>364</v>
      </c>
    </row>
    <row r="65" spans="1:6" x14ac:dyDescent="0.25">
      <c r="A65" t="s">
        <v>190</v>
      </c>
      <c r="B65" t="s">
        <v>8</v>
      </c>
      <c r="C65">
        <v>2025</v>
      </c>
      <c r="D65" t="s">
        <v>14</v>
      </c>
      <c r="E65" t="s">
        <v>49</v>
      </c>
      <c r="F65" t="s">
        <v>364</v>
      </c>
    </row>
    <row r="66" spans="1:6" x14ac:dyDescent="0.25">
      <c r="A66" t="s">
        <v>192</v>
      </c>
      <c r="B66" t="s">
        <v>24</v>
      </c>
      <c r="C66">
        <v>2025</v>
      </c>
      <c r="D66" t="s">
        <v>14</v>
      </c>
      <c r="E66" t="s">
        <v>49</v>
      </c>
      <c r="F66" t="s">
        <v>364</v>
      </c>
    </row>
    <row r="67" spans="1:6" x14ac:dyDescent="0.25">
      <c r="A67" t="s">
        <v>194</v>
      </c>
      <c r="B67" t="s">
        <v>24</v>
      </c>
      <c r="C67">
        <v>2025</v>
      </c>
      <c r="D67" t="s">
        <v>14</v>
      </c>
      <c r="E67" t="s">
        <v>49</v>
      </c>
      <c r="F67" t="s">
        <v>364</v>
      </c>
    </row>
    <row r="68" spans="1:6" x14ac:dyDescent="0.25">
      <c r="A68" t="s">
        <v>198</v>
      </c>
      <c r="B68" t="s">
        <v>8</v>
      </c>
      <c r="C68">
        <v>2025</v>
      </c>
      <c r="D68" t="s">
        <v>9</v>
      </c>
      <c r="E68" t="s">
        <v>351</v>
      </c>
      <c r="F68" t="s">
        <v>356</v>
      </c>
    </row>
    <row r="69" spans="1:6" x14ac:dyDescent="0.25">
      <c r="A69" t="s">
        <v>201</v>
      </c>
      <c r="B69" t="s">
        <v>24</v>
      </c>
      <c r="C69">
        <v>2025</v>
      </c>
      <c r="D69" t="s">
        <v>14</v>
      </c>
      <c r="E69" t="s">
        <v>15</v>
      </c>
      <c r="F69" t="s">
        <v>365</v>
      </c>
    </row>
    <row r="70" spans="1:6" x14ac:dyDescent="0.25">
      <c r="A70" t="s">
        <v>203</v>
      </c>
      <c r="B70" t="s">
        <v>8</v>
      </c>
      <c r="C70">
        <v>2024</v>
      </c>
      <c r="D70" t="s">
        <v>9</v>
      </c>
      <c r="E70" t="s">
        <v>351</v>
      </c>
      <c r="F70" t="s">
        <v>356</v>
      </c>
    </row>
    <row r="71" spans="1:6" x14ac:dyDescent="0.25">
      <c r="A71" t="s">
        <v>206</v>
      </c>
      <c r="B71" t="s">
        <v>24</v>
      </c>
      <c r="C71">
        <v>2025</v>
      </c>
      <c r="D71" t="s">
        <v>9</v>
      </c>
      <c r="E71" t="s">
        <v>52</v>
      </c>
      <c r="F71" t="s">
        <v>356</v>
      </c>
    </row>
    <row r="72" spans="1:6" x14ac:dyDescent="0.25">
      <c r="A72" t="s">
        <v>209</v>
      </c>
      <c r="B72" t="s">
        <v>8</v>
      </c>
      <c r="C72">
        <v>2025</v>
      </c>
      <c r="D72" t="s">
        <v>9</v>
      </c>
      <c r="E72" t="s">
        <v>100</v>
      </c>
      <c r="F72" t="s">
        <v>363</v>
      </c>
    </row>
    <row r="73" spans="1:6" x14ac:dyDescent="0.25">
      <c r="A73" t="s">
        <v>211</v>
      </c>
      <c r="B73" t="s">
        <v>24</v>
      </c>
      <c r="C73">
        <v>2025</v>
      </c>
      <c r="D73" t="s">
        <v>14</v>
      </c>
      <c r="E73" t="s">
        <v>15</v>
      </c>
      <c r="F73" t="s">
        <v>365</v>
      </c>
    </row>
    <row r="74" spans="1:6" x14ac:dyDescent="0.25">
      <c r="A74" t="s">
        <v>213</v>
      </c>
      <c r="B74" t="s">
        <v>8</v>
      </c>
      <c r="C74">
        <v>2023</v>
      </c>
      <c r="D74" t="s">
        <v>9</v>
      </c>
      <c r="E74" t="s">
        <v>100</v>
      </c>
      <c r="F74" t="s">
        <v>363</v>
      </c>
    </row>
    <row r="75" spans="1:6" x14ac:dyDescent="0.25">
      <c r="A75" t="s">
        <v>215</v>
      </c>
      <c r="B75" t="s">
        <v>24</v>
      </c>
      <c r="C75">
        <v>2024</v>
      </c>
      <c r="D75" t="s">
        <v>14</v>
      </c>
      <c r="E75" t="s">
        <v>49</v>
      </c>
      <c r="F75" t="s">
        <v>364</v>
      </c>
    </row>
    <row r="76" spans="1:6" x14ac:dyDescent="0.25">
      <c r="A76" t="s">
        <v>217</v>
      </c>
      <c r="B76" t="s">
        <v>24</v>
      </c>
      <c r="C76">
        <v>2023</v>
      </c>
      <c r="D76" t="s">
        <v>9</v>
      </c>
      <c r="E76" t="s">
        <v>31</v>
      </c>
      <c r="F76" t="s">
        <v>356</v>
      </c>
    </row>
    <row r="77" spans="1:6" x14ac:dyDescent="0.25">
      <c r="A77" t="s">
        <v>219</v>
      </c>
      <c r="B77" t="s">
        <v>24</v>
      </c>
      <c r="C77">
        <v>2024</v>
      </c>
      <c r="D77" t="s">
        <v>9</v>
      </c>
      <c r="E77" t="s">
        <v>342</v>
      </c>
      <c r="F77" t="s">
        <v>358</v>
      </c>
    </row>
    <row r="78" spans="1:6" x14ac:dyDescent="0.25">
      <c r="A78" t="s">
        <v>222</v>
      </c>
      <c r="B78" t="s">
        <v>24</v>
      </c>
      <c r="C78">
        <v>2023</v>
      </c>
      <c r="D78" t="s">
        <v>14</v>
      </c>
      <c r="E78" t="s">
        <v>15</v>
      </c>
      <c r="F78" t="s">
        <v>365</v>
      </c>
    </row>
    <row r="79" spans="1:6" x14ac:dyDescent="0.25">
      <c r="A79" t="s">
        <v>224</v>
      </c>
      <c r="B79" t="s">
        <v>24</v>
      </c>
      <c r="C79">
        <v>2024</v>
      </c>
      <c r="D79" t="s">
        <v>14</v>
      </c>
      <c r="E79" t="s">
        <v>49</v>
      </c>
      <c r="F79" t="s">
        <v>364</v>
      </c>
    </row>
    <row r="80" spans="1:6" x14ac:dyDescent="0.25">
      <c r="A80" t="s">
        <v>226</v>
      </c>
      <c r="B80" t="s">
        <v>24</v>
      </c>
      <c r="C80">
        <v>2024</v>
      </c>
      <c r="D80" t="s">
        <v>9</v>
      </c>
      <c r="E80" t="s">
        <v>348</v>
      </c>
      <c r="F80" t="s">
        <v>358</v>
      </c>
    </row>
    <row r="81" spans="1:6" x14ac:dyDescent="0.25">
      <c r="A81" t="s">
        <v>229</v>
      </c>
      <c r="B81" t="s">
        <v>24</v>
      </c>
      <c r="C81">
        <v>2024</v>
      </c>
      <c r="D81" t="s">
        <v>14</v>
      </c>
      <c r="E81" t="s">
        <v>49</v>
      </c>
      <c r="F81" t="s">
        <v>364</v>
      </c>
    </row>
    <row r="82" spans="1:6" x14ac:dyDescent="0.25">
      <c r="A82" t="s">
        <v>232</v>
      </c>
      <c r="B82" t="s">
        <v>24</v>
      </c>
      <c r="C82">
        <v>2024</v>
      </c>
      <c r="D82" t="s">
        <v>14</v>
      </c>
      <c r="E82" t="s">
        <v>49</v>
      </c>
      <c r="F82" t="s">
        <v>364</v>
      </c>
    </row>
    <row r="83" spans="1:6" x14ac:dyDescent="0.25">
      <c r="A83" t="s">
        <v>234</v>
      </c>
      <c r="B83" t="s">
        <v>8</v>
      </c>
      <c r="C83">
        <v>2024</v>
      </c>
      <c r="D83" t="s">
        <v>9</v>
      </c>
      <c r="E83" t="s">
        <v>31</v>
      </c>
      <c r="F83" t="s">
        <v>356</v>
      </c>
    </row>
    <row r="84" spans="1:6" x14ac:dyDescent="0.25">
      <c r="A84" t="s">
        <v>236</v>
      </c>
      <c r="B84" t="s">
        <v>24</v>
      </c>
      <c r="C84">
        <v>2025</v>
      </c>
      <c r="D84" t="s">
        <v>14</v>
      </c>
      <c r="E84" t="s">
        <v>49</v>
      </c>
      <c r="F84" t="s">
        <v>364</v>
      </c>
    </row>
    <row r="85" spans="1:6" x14ac:dyDescent="0.25">
      <c r="A85" t="s">
        <v>238</v>
      </c>
      <c r="B85" t="s">
        <v>24</v>
      </c>
      <c r="C85">
        <v>2024</v>
      </c>
      <c r="D85" t="s">
        <v>14</v>
      </c>
      <c r="E85" t="s">
        <v>49</v>
      </c>
      <c r="F85" t="s">
        <v>364</v>
      </c>
    </row>
    <row r="86" spans="1:6" x14ac:dyDescent="0.25">
      <c r="A86" t="s">
        <v>240</v>
      </c>
      <c r="B86" t="s">
        <v>24</v>
      </c>
      <c r="C86">
        <v>2024</v>
      </c>
      <c r="D86" t="s">
        <v>9</v>
      </c>
      <c r="E86" t="s">
        <v>52</v>
      </c>
      <c r="F86" t="s">
        <v>356</v>
      </c>
    </row>
    <row r="87" spans="1:6" x14ac:dyDescent="0.25">
      <c r="A87" t="s">
        <v>243</v>
      </c>
      <c r="B87" t="s">
        <v>24</v>
      </c>
      <c r="C87">
        <v>2024</v>
      </c>
      <c r="D87" t="s">
        <v>14</v>
      </c>
      <c r="E87" t="s">
        <v>49</v>
      </c>
      <c r="F87" t="s">
        <v>364</v>
      </c>
    </row>
    <row r="88" spans="1:6" x14ac:dyDescent="0.25">
      <c r="A88" t="s">
        <v>245</v>
      </c>
      <c r="B88" t="s">
        <v>24</v>
      </c>
      <c r="C88">
        <v>2024</v>
      </c>
      <c r="D88" t="s">
        <v>9</v>
      </c>
      <c r="E88" t="s">
        <v>146</v>
      </c>
      <c r="F88" t="s">
        <v>360</v>
      </c>
    </row>
    <row r="89" spans="1:6" x14ac:dyDescent="0.25">
      <c r="A89" t="s">
        <v>247</v>
      </c>
      <c r="B89" t="s">
        <v>24</v>
      </c>
      <c r="C89">
        <v>2024</v>
      </c>
      <c r="D89" t="s">
        <v>14</v>
      </c>
      <c r="E89" t="s">
        <v>49</v>
      </c>
      <c r="F89" t="s">
        <v>364</v>
      </c>
    </row>
    <row r="90" spans="1:6" x14ac:dyDescent="0.25">
      <c r="A90" t="s">
        <v>249</v>
      </c>
      <c r="B90" t="s">
        <v>8</v>
      </c>
      <c r="C90">
        <v>2024</v>
      </c>
      <c r="D90" t="s">
        <v>9</v>
      </c>
      <c r="E90" t="s">
        <v>100</v>
      </c>
      <c r="F90" t="s">
        <v>363</v>
      </c>
    </row>
    <row r="91" spans="1:6" x14ac:dyDescent="0.25">
      <c r="A91" t="s">
        <v>252</v>
      </c>
      <c r="B91" t="s">
        <v>24</v>
      </c>
      <c r="C91">
        <v>2024</v>
      </c>
      <c r="D91" t="s">
        <v>14</v>
      </c>
      <c r="E91" t="s">
        <v>49</v>
      </c>
      <c r="F91" t="s">
        <v>364</v>
      </c>
    </row>
    <row r="92" spans="1:6" x14ac:dyDescent="0.25">
      <c r="A92" t="s">
        <v>254</v>
      </c>
      <c r="B92" t="s">
        <v>8</v>
      </c>
      <c r="C92">
        <v>2022</v>
      </c>
      <c r="D92" t="s">
        <v>9</v>
      </c>
      <c r="E92" t="s">
        <v>353</v>
      </c>
      <c r="F92" t="s">
        <v>358</v>
      </c>
    </row>
    <row r="93" spans="1:6" x14ac:dyDescent="0.25">
      <c r="A93" t="s">
        <v>256</v>
      </c>
      <c r="B93" t="s">
        <v>8</v>
      </c>
      <c r="C93">
        <v>2024</v>
      </c>
      <c r="D93" t="s">
        <v>9</v>
      </c>
      <c r="E93" t="s">
        <v>37</v>
      </c>
      <c r="F93" t="s">
        <v>359</v>
      </c>
    </row>
    <row r="94" spans="1:6" x14ac:dyDescent="0.25">
      <c r="A94" t="s">
        <v>258</v>
      </c>
      <c r="B94" t="s">
        <v>24</v>
      </c>
      <c r="C94">
        <v>2024</v>
      </c>
      <c r="D94" t="s">
        <v>9</v>
      </c>
      <c r="E94" t="s">
        <v>259</v>
      </c>
      <c r="F94" t="s">
        <v>360</v>
      </c>
    </row>
    <row r="95" spans="1:6" x14ac:dyDescent="0.25">
      <c r="A95" t="s">
        <v>261</v>
      </c>
      <c r="B95" t="s">
        <v>8</v>
      </c>
      <c r="C95">
        <v>2024</v>
      </c>
      <c r="D95" t="s">
        <v>9</v>
      </c>
      <c r="E95" t="s">
        <v>349</v>
      </c>
      <c r="F95" t="s">
        <v>366</v>
      </c>
    </row>
    <row r="96" spans="1:6" x14ac:dyDescent="0.25">
      <c r="A96" t="s">
        <v>264</v>
      </c>
      <c r="B96" t="s">
        <v>8</v>
      </c>
      <c r="C96">
        <v>2024</v>
      </c>
      <c r="D96" t="s">
        <v>14</v>
      </c>
      <c r="E96" t="s">
        <v>49</v>
      </c>
      <c r="F96" t="s">
        <v>364</v>
      </c>
    </row>
    <row r="97" spans="1:6" x14ac:dyDescent="0.25">
      <c r="A97" t="s">
        <v>266</v>
      </c>
      <c r="B97" t="s">
        <v>24</v>
      </c>
      <c r="C97">
        <v>2024</v>
      </c>
      <c r="D97" t="s">
        <v>14</v>
      </c>
      <c r="E97" t="s">
        <v>15</v>
      </c>
      <c r="F97" t="s">
        <v>365</v>
      </c>
    </row>
    <row r="98" spans="1:6" x14ac:dyDescent="0.25">
      <c r="A98" t="s">
        <v>268</v>
      </c>
      <c r="B98" t="s">
        <v>8</v>
      </c>
      <c r="C98">
        <v>2024</v>
      </c>
      <c r="D98" t="s">
        <v>9</v>
      </c>
      <c r="E98" t="s">
        <v>52</v>
      </c>
      <c r="F98" t="s">
        <v>356</v>
      </c>
    </row>
    <row r="99" spans="1:6" x14ac:dyDescent="0.25">
      <c r="A99" t="s">
        <v>270</v>
      </c>
      <c r="B99" t="s">
        <v>8</v>
      </c>
      <c r="C99">
        <v>2024</v>
      </c>
      <c r="D99" t="s">
        <v>9</v>
      </c>
      <c r="E99" t="s">
        <v>340</v>
      </c>
      <c r="F99" t="s">
        <v>363</v>
      </c>
    </row>
    <row r="100" spans="1:6" x14ac:dyDescent="0.25">
      <c r="A100" t="s">
        <v>273</v>
      </c>
      <c r="B100" t="s">
        <v>24</v>
      </c>
      <c r="C100">
        <v>2024</v>
      </c>
      <c r="D100" t="s">
        <v>9</v>
      </c>
      <c r="E100" t="s">
        <v>345</v>
      </c>
      <c r="F100" t="s">
        <v>356</v>
      </c>
    </row>
    <row r="101" spans="1:6" x14ac:dyDescent="0.25">
      <c r="A101" t="s">
        <v>276</v>
      </c>
      <c r="B101" t="s">
        <v>8</v>
      </c>
      <c r="C101">
        <v>2023</v>
      </c>
      <c r="D101" t="s">
        <v>9</v>
      </c>
      <c r="E101" t="s">
        <v>351</v>
      </c>
      <c r="F101" t="s">
        <v>356</v>
      </c>
    </row>
    <row r="102" spans="1:6" x14ac:dyDescent="0.25">
      <c r="A102" t="s">
        <v>278</v>
      </c>
      <c r="B102" t="s">
        <v>8</v>
      </c>
      <c r="C102">
        <v>2023</v>
      </c>
      <c r="D102" t="s">
        <v>9</v>
      </c>
      <c r="E102" t="s">
        <v>279</v>
      </c>
      <c r="F102" t="s">
        <v>362</v>
      </c>
    </row>
    <row r="103" spans="1:6" x14ac:dyDescent="0.25">
      <c r="A103" t="s">
        <v>281</v>
      </c>
      <c r="B103" t="s">
        <v>24</v>
      </c>
      <c r="C103">
        <v>2024</v>
      </c>
      <c r="D103" t="s">
        <v>14</v>
      </c>
      <c r="E103" t="s">
        <v>49</v>
      </c>
      <c r="F103" t="s">
        <v>364</v>
      </c>
    </row>
    <row r="104" spans="1:6" x14ac:dyDescent="0.25">
      <c r="A104" t="s">
        <v>283</v>
      </c>
      <c r="B104" t="s">
        <v>24</v>
      </c>
      <c r="C104">
        <v>2025</v>
      </c>
      <c r="D104" t="s">
        <v>9</v>
      </c>
      <c r="E104" t="s">
        <v>299</v>
      </c>
      <c r="F104" t="s">
        <v>358</v>
      </c>
    </row>
    <row r="105" spans="1:6" x14ac:dyDescent="0.25">
      <c r="A105" t="s">
        <v>286</v>
      </c>
      <c r="B105" t="s">
        <v>24</v>
      </c>
      <c r="C105">
        <v>2024</v>
      </c>
      <c r="D105" t="s">
        <v>9</v>
      </c>
      <c r="E105" t="s">
        <v>351</v>
      </c>
      <c r="F105" t="s">
        <v>356</v>
      </c>
    </row>
    <row r="106" spans="1:6" x14ac:dyDescent="0.25">
      <c r="A106" t="s">
        <v>289</v>
      </c>
      <c r="B106" t="s">
        <v>24</v>
      </c>
      <c r="C106">
        <v>2024</v>
      </c>
      <c r="D106" t="s">
        <v>9</v>
      </c>
      <c r="E106" t="s">
        <v>342</v>
      </c>
      <c r="F106" t="s">
        <v>358</v>
      </c>
    </row>
    <row r="107" spans="1:6" x14ac:dyDescent="0.25">
      <c r="A107" t="s">
        <v>292</v>
      </c>
      <c r="B107" t="s">
        <v>24</v>
      </c>
      <c r="C107">
        <v>2024</v>
      </c>
      <c r="D107" t="s">
        <v>14</v>
      </c>
      <c r="E107" t="s">
        <v>49</v>
      </c>
      <c r="F107" t="s">
        <v>364</v>
      </c>
    </row>
    <row r="108" spans="1:6" x14ac:dyDescent="0.25">
      <c r="A108" t="s">
        <v>294</v>
      </c>
      <c r="B108" t="s">
        <v>24</v>
      </c>
      <c r="C108">
        <v>2024</v>
      </c>
      <c r="D108" t="s">
        <v>9</v>
      </c>
      <c r="E108" t="s">
        <v>18</v>
      </c>
      <c r="F108" t="s">
        <v>362</v>
      </c>
    </row>
    <row r="109" spans="1:6" x14ac:dyDescent="0.25">
      <c r="A109" t="s">
        <v>298</v>
      </c>
      <c r="B109" t="s">
        <v>24</v>
      </c>
      <c r="C109">
        <v>2025</v>
      </c>
      <c r="D109" t="s">
        <v>9</v>
      </c>
      <c r="E109" t="s">
        <v>299</v>
      </c>
      <c r="F109" t="s">
        <v>358</v>
      </c>
    </row>
    <row r="110" spans="1:6" x14ac:dyDescent="0.25">
      <c r="A110" t="s">
        <v>301</v>
      </c>
      <c r="B110" t="s">
        <v>24</v>
      </c>
      <c r="C110">
        <v>2025</v>
      </c>
      <c r="D110" t="s">
        <v>9</v>
      </c>
      <c r="E110" t="s">
        <v>299</v>
      </c>
      <c r="F110" t="s">
        <v>358</v>
      </c>
    </row>
    <row r="111" spans="1:6" x14ac:dyDescent="0.25">
      <c r="A111" t="s">
        <v>304</v>
      </c>
      <c r="B111" t="s">
        <v>8</v>
      </c>
      <c r="C111">
        <v>2024</v>
      </c>
      <c r="D111" t="s">
        <v>14</v>
      </c>
      <c r="E111" t="s">
        <v>15</v>
      </c>
      <c r="F111" t="s">
        <v>365</v>
      </c>
    </row>
    <row r="112" spans="1:6" x14ac:dyDescent="0.25">
      <c r="A112" t="s">
        <v>306</v>
      </c>
      <c r="B112" t="s">
        <v>24</v>
      </c>
      <c r="C112">
        <v>2024</v>
      </c>
      <c r="D112" t="s">
        <v>14</v>
      </c>
      <c r="E112" t="s">
        <v>15</v>
      </c>
      <c r="F112" t="s">
        <v>365</v>
      </c>
    </row>
    <row r="113" spans="1:6" x14ac:dyDescent="0.25">
      <c r="A113" t="s">
        <v>308</v>
      </c>
      <c r="B113" t="s">
        <v>8</v>
      </c>
      <c r="C113">
        <v>2024</v>
      </c>
      <c r="D113" t="s">
        <v>9</v>
      </c>
      <c r="E113" t="s">
        <v>279</v>
      </c>
      <c r="F113" t="s">
        <v>362</v>
      </c>
    </row>
    <row r="114" spans="1:6" x14ac:dyDescent="0.25">
      <c r="A114" t="s">
        <v>311</v>
      </c>
      <c r="B114" t="s">
        <v>24</v>
      </c>
      <c r="C114">
        <v>2024</v>
      </c>
      <c r="D114" t="s">
        <v>14</v>
      </c>
      <c r="E114" t="s">
        <v>49</v>
      </c>
      <c r="F114" t="s">
        <v>364</v>
      </c>
    </row>
    <row r="115" spans="1:6" x14ac:dyDescent="0.25">
      <c r="A115" t="s">
        <v>313</v>
      </c>
      <c r="B115" t="s">
        <v>24</v>
      </c>
      <c r="C115">
        <v>2023</v>
      </c>
      <c r="D115" t="s">
        <v>9</v>
      </c>
      <c r="E115" t="s">
        <v>351</v>
      </c>
      <c r="F115" t="s">
        <v>356</v>
      </c>
    </row>
    <row r="116" spans="1:6" x14ac:dyDescent="0.25">
      <c r="A116" t="s">
        <v>316</v>
      </c>
      <c r="B116" t="s">
        <v>24</v>
      </c>
      <c r="C116">
        <v>2024</v>
      </c>
      <c r="D116" t="s">
        <v>14</v>
      </c>
      <c r="E116" t="s">
        <v>49</v>
      </c>
      <c r="F116" t="s">
        <v>364</v>
      </c>
    </row>
    <row r="117" spans="1:6" x14ac:dyDescent="0.25">
      <c r="A117" t="s">
        <v>318</v>
      </c>
      <c r="B117" t="s">
        <v>8</v>
      </c>
      <c r="C117">
        <v>2025</v>
      </c>
      <c r="D117" t="s">
        <v>9</v>
      </c>
      <c r="E117" t="s">
        <v>18</v>
      </c>
      <c r="F117" t="s">
        <v>362</v>
      </c>
    </row>
    <row r="118" spans="1:6" x14ac:dyDescent="0.25">
      <c r="A118" t="s">
        <v>321</v>
      </c>
      <c r="B118" t="s">
        <v>24</v>
      </c>
      <c r="C118">
        <v>2025</v>
      </c>
      <c r="D118" t="s">
        <v>9</v>
      </c>
      <c r="E118" t="s">
        <v>18</v>
      </c>
      <c r="F118" t="s">
        <v>362</v>
      </c>
    </row>
    <row r="119" spans="1:6" x14ac:dyDescent="0.25">
      <c r="A119" t="s">
        <v>323</v>
      </c>
      <c r="B119" t="s">
        <v>24</v>
      </c>
      <c r="C119">
        <v>2024</v>
      </c>
      <c r="D119" t="s">
        <v>14</v>
      </c>
      <c r="E119" t="s">
        <v>15</v>
      </c>
      <c r="F119" t="s">
        <v>365</v>
      </c>
    </row>
    <row r="120" spans="1:6" x14ac:dyDescent="0.25">
      <c r="A120" t="s">
        <v>325</v>
      </c>
      <c r="B120" t="s">
        <v>24</v>
      </c>
      <c r="C120">
        <v>2025</v>
      </c>
      <c r="D120" t="s">
        <v>14</v>
      </c>
      <c r="E120" t="s">
        <v>15</v>
      </c>
      <c r="F120" t="s">
        <v>365</v>
      </c>
    </row>
    <row r="121" spans="1:6" x14ac:dyDescent="0.25">
      <c r="A121" t="s">
        <v>327</v>
      </c>
      <c r="B121" t="s">
        <v>24</v>
      </c>
      <c r="C121">
        <v>2025</v>
      </c>
      <c r="D121" t="s">
        <v>14</v>
      </c>
      <c r="E121" t="s">
        <v>15</v>
      </c>
      <c r="F121" t="s">
        <v>365</v>
      </c>
    </row>
    <row r="122" spans="1:6" x14ac:dyDescent="0.25">
      <c r="A122" t="s">
        <v>329</v>
      </c>
      <c r="B122" t="s">
        <v>24</v>
      </c>
      <c r="C122">
        <v>2025</v>
      </c>
      <c r="D122" t="s">
        <v>14</v>
      </c>
      <c r="E122" t="s">
        <v>15</v>
      </c>
      <c r="F122" t="s">
        <v>365</v>
      </c>
    </row>
  </sheetData>
  <sheetProtection algorithmName="SHA-512" hashValue="KJ+8RRRS2nVHZZn99Qibl2tS3fcBRMmzMhcyPf+fEHLaoGpgd6g4g/8XiAW8uDSHubkKixkQDKs8FzNqFKRCWw==" saltValue="FA/d0PGjMw2xlAuoove+9w==" spinCount="100000" sheet="1" objects="1" scenarios="1"/>
  <autoFilter ref="A1:F122"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96"/>
  <sheetViews>
    <sheetView workbookViewId="0">
      <selection activeCell="L15" sqref="L15"/>
    </sheetView>
  </sheetViews>
  <sheetFormatPr defaultRowHeight="15.75" x14ac:dyDescent="0.25"/>
  <cols>
    <col min="1" max="1" width="13.25" bestFit="1" customWidth="1"/>
    <col min="2" max="2" width="15.875" bestFit="1" customWidth="1"/>
    <col min="3" max="3" width="4.75" bestFit="1" customWidth="1"/>
    <col min="4" max="4" width="11" bestFit="1" customWidth="1"/>
  </cols>
  <sheetData>
    <row r="1" spans="1:2" x14ac:dyDescent="0.25">
      <c r="A1" s="5" t="s">
        <v>368</v>
      </c>
      <c r="B1" t="s">
        <v>370</v>
      </c>
    </row>
    <row r="2" spans="1:2" x14ac:dyDescent="0.25">
      <c r="A2" s="6" t="s">
        <v>14</v>
      </c>
      <c r="B2" s="4">
        <v>45</v>
      </c>
    </row>
    <row r="3" spans="1:2" x14ac:dyDescent="0.25">
      <c r="A3" s="6" t="s">
        <v>9</v>
      </c>
      <c r="B3" s="4">
        <v>76</v>
      </c>
    </row>
    <row r="4" spans="1:2" x14ac:dyDescent="0.25">
      <c r="A4" s="6" t="s">
        <v>369</v>
      </c>
      <c r="B4" s="4">
        <v>121</v>
      </c>
    </row>
    <row r="16" spans="1:2" x14ac:dyDescent="0.25">
      <c r="A16" s="5" t="s">
        <v>368</v>
      </c>
      <c r="B16" t="s">
        <v>371</v>
      </c>
    </row>
    <row r="17" spans="1:2" x14ac:dyDescent="0.25">
      <c r="A17" s="6" t="s">
        <v>347</v>
      </c>
      <c r="B17" s="4">
        <v>1</v>
      </c>
    </row>
    <row r="18" spans="1:2" x14ac:dyDescent="0.25">
      <c r="A18" s="6" t="s">
        <v>344</v>
      </c>
      <c r="B18" s="4">
        <v>1</v>
      </c>
    </row>
    <row r="19" spans="1:2" x14ac:dyDescent="0.25">
      <c r="A19" s="6" t="s">
        <v>375</v>
      </c>
      <c r="B19" s="4">
        <v>1</v>
      </c>
    </row>
    <row r="20" spans="1:2" x14ac:dyDescent="0.25">
      <c r="A20" s="6" t="s">
        <v>346</v>
      </c>
      <c r="B20" s="4">
        <v>1</v>
      </c>
    </row>
    <row r="21" spans="1:2" x14ac:dyDescent="0.25">
      <c r="A21" s="6" t="s">
        <v>348</v>
      </c>
      <c r="B21" s="4">
        <v>1</v>
      </c>
    </row>
    <row r="22" spans="1:2" x14ac:dyDescent="0.25">
      <c r="A22" s="6" t="s">
        <v>341</v>
      </c>
      <c r="B22" s="4">
        <v>1</v>
      </c>
    </row>
    <row r="23" spans="1:2" x14ac:dyDescent="0.25">
      <c r="A23" s="6" t="s">
        <v>343</v>
      </c>
      <c r="B23" s="4">
        <v>1</v>
      </c>
    </row>
    <row r="24" spans="1:2" x14ac:dyDescent="0.25">
      <c r="A24" s="6" t="s">
        <v>345</v>
      </c>
      <c r="B24" s="4">
        <v>2</v>
      </c>
    </row>
    <row r="25" spans="1:2" x14ac:dyDescent="0.25">
      <c r="A25" s="6" t="s">
        <v>353</v>
      </c>
      <c r="B25" s="4">
        <v>2</v>
      </c>
    </row>
    <row r="26" spans="1:2" x14ac:dyDescent="0.25">
      <c r="A26" s="6" t="s">
        <v>352</v>
      </c>
      <c r="B26" s="4">
        <v>2</v>
      </c>
    </row>
    <row r="27" spans="1:2" x14ac:dyDescent="0.25">
      <c r="A27" s="6" t="s">
        <v>259</v>
      </c>
      <c r="B27" s="4">
        <v>2</v>
      </c>
    </row>
    <row r="28" spans="1:2" x14ac:dyDescent="0.25">
      <c r="A28" s="6" t="s">
        <v>279</v>
      </c>
      <c r="B28" s="4">
        <v>3</v>
      </c>
    </row>
    <row r="29" spans="1:2" x14ac:dyDescent="0.25">
      <c r="A29" s="6" t="s">
        <v>299</v>
      </c>
      <c r="B29" s="4">
        <v>3</v>
      </c>
    </row>
    <row r="30" spans="1:2" x14ac:dyDescent="0.25">
      <c r="A30" s="6" t="s">
        <v>31</v>
      </c>
      <c r="B30" s="4">
        <v>3</v>
      </c>
    </row>
    <row r="31" spans="1:2" x14ac:dyDescent="0.25">
      <c r="A31" s="6" t="s">
        <v>146</v>
      </c>
      <c r="B31" s="4">
        <v>3</v>
      </c>
    </row>
    <row r="32" spans="1:2" x14ac:dyDescent="0.25">
      <c r="A32" s="6" t="s">
        <v>340</v>
      </c>
      <c r="B32" s="4">
        <v>4</v>
      </c>
    </row>
    <row r="33" spans="1:2" x14ac:dyDescent="0.25">
      <c r="A33" s="6" t="s">
        <v>40</v>
      </c>
      <c r="B33" s="4">
        <v>4</v>
      </c>
    </row>
    <row r="34" spans="1:2" x14ac:dyDescent="0.25">
      <c r="A34" s="6" t="s">
        <v>18</v>
      </c>
      <c r="B34" s="4">
        <v>4</v>
      </c>
    </row>
    <row r="35" spans="1:2" x14ac:dyDescent="0.25">
      <c r="A35" s="6" t="s">
        <v>349</v>
      </c>
      <c r="B35" s="4">
        <v>4</v>
      </c>
    </row>
    <row r="36" spans="1:2" x14ac:dyDescent="0.25">
      <c r="A36" s="6" t="s">
        <v>342</v>
      </c>
      <c r="B36" s="4">
        <v>5</v>
      </c>
    </row>
    <row r="37" spans="1:2" x14ac:dyDescent="0.25">
      <c r="A37" s="6" t="s">
        <v>37</v>
      </c>
      <c r="B37" s="4">
        <v>5</v>
      </c>
    </row>
    <row r="38" spans="1:2" x14ac:dyDescent="0.25">
      <c r="A38" s="6" t="s">
        <v>52</v>
      </c>
      <c r="B38" s="4">
        <v>5</v>
      </c>
    </row>
    <row r="39" spans="1:2" x14ac:dyDescent="0.25">
      <c r="A39" s="6" t="s">
        <v>100</v>
      </c>
      <c r="B39" s="4">
        <v>9</v>
      </c>
    </row>
    <row r="40" spans="1:2" x14ac:dyDescent="0.25">
      <c r="A40" s="6" t="s">
        <v>351</v>
      </c>
      <c r="B40" s="4">
        <v>9</v>
      </c>
    </row>
    <row r="41" spans="1:2" x14ac:dyDescent="0.25">
      <c r="A41" s="6" t="s">
        <v>15</v>
      </c>
      <c r="B41" s="4">
        <v>20</v>
      </c>
    </row>
    <row r="42" spans="1:2" x14ac:dyDescent="0.25">
      <c r="A42" s="6" t="s">
        <v>49</v>
      </c>
      <c r="B42" s="4">
        <v>25</v>
      </c>
    </row>
    <row r="43" spans="1:2" x14ac:dyDescent="0.25">
      <c r="A43" s="6" t="s">
        <v>369</v>
      </c>
      <c r="B43" s="4">
        <v>121</v>
      </c>
    </row>
    <row r="47" spans="1:2" x14ac:dyDescent="0.25">
      <c r="A47" s="5" t="s">
        <v>368</v>
      </c>
      <c r="B47" t="s">
        <v>372</v>
      </c>
    </row>
    <row r="48" spans="1:2" x14ac:dyDescent="0.25">
      <c r="A48" s="6" t="s">
        <v>357</v>
      </c>
      <c r="B48" s="4">
        <v>2</v>
      </c>
    </row>
    <row r="49" spans="1:2" x14ac:dyDescent="0.25">
      <c r="A49" s="6" t="s">
        <v>361</v>
      </c>
      <c r="B49" s="4">
        <v>2</v>
      </c>
    </row>
    <row r="50" spans="1:2" x14ac:dyDescent="0.25">
      <c r="A50" s="6" t="s">
        <v>366</v>
      </c>
      <c r="B50" s="4">
        <v>4</v>
      </c>
    </row>
    <row r="51" spans="1:2" x14ac:dyDescent="0.25">
      <c r="A51" s="6" t="s">
        <v>360</v>
      </c>
      <c r="B51" s="4">
        <v>5</v>
      </c>
    </row>
    <row r="52" spans="1:2" x14ac:dyDescent="0.25">
      <c r="A52" s="6" t="s">
        <v>362</v>
      </c>
      <c r="B52" s="4">
        <v>7</v>
      </c>
    </row>
    <row r="53" spans="1:2" x14ac:dyDescent="0.25">
      <c r="A53" s="6" t="s">
        <v>359</v>
      </c>
      <c r="B53" s="4">
        <v>7</v>
      </c>
    </row>
    <row r="54" spans="1:2" x14ac:dyDescent="0.25">
      <c r="A54" s="6" t="s">
        <v>358</v>
      </c>
      <c r="B54" s="4">
        <v>12</v>
      </c>
    </row>
    <row r="55" spans="1:2" x14ac:dyDescent="0.25">
      <c r="A55" s="6" t="s">
        <v>363</v>
      </c>
      <c r="B55" s="4">
        <v>14</v>
      </c>
    </row>
    <row r="56" spans="1:2" x14ac:dyDescent="0.25">
      <c r="A56" s="6" t="s">
        <v>365</v>
      </c>
      <c r="B56" s="4">
        <v>20</v>
      </c>
    </row>
    <row r="57" spans="1:2" x14ac:dyDescent="0.25">
      <c r="A57" s="6" t="s">
        <v>356</v>
      </c>
      <c r="B57" s="4">
        <v>23</v>
      </c>
    </row>
    <row r="58" spans="1:2" x14ac:dyDescent="0.25">
      <c r="A58" s="6" t="s">
        <v>364</v>
      </c>
      <c r="B58" s="4">
        <v>25</v>
      </c>
    </row>
    <row r="59" spans="1:2" x14ac:dyDescent="0.25">
      <c r="A59" s="6" t="s">
        <v>369</v>
      </c>
      <c r="B59" s="4">
        <v>121</v>
      </c>
    </row>
    <row r="65" spans="1:2" x14ac:dyDescent="0.25">
      <c r="A65" s="5" t="s">
        <v>368</v>
      </c>
      <c r="B65" t="s">
        <v>372</v>
      </c>
    </row>
    <row r="66" spans="1:2" x14ac:dyDescent="0.25">
      <c r="A66" s="6">
        <v>2022</v>
      </c>
      <c r="B66" s="4"/>
    </row>
    <row r="67" spans="1:2" x14ac:dyDescent="0.25">
      <c r="A67" s="7" t="s">
        <v>358</v>
      </c>
      <c r="B67" s="4">
        <v>1</v>
      </c>
    </row>
    <row r="68" spans="1:2" x14ac:dyDescent="0.25">
      <c r="A68" s="7" t="s">
        <v>366</v>
      </c>
      <c r="B68" s="4">
        <v>1</v>
      </c>
    </row>
    <row r="69" spans="1:2" x14ac:dyDescent="0.25">
      <c r="A69" s="6">
        <v>2023</v>
      </c>
      <c r="B69" s="4"/>
    </row>
    <row r="70" spans="1:2" x14ac:dyDescent="0.25">
      <c r="A70" s="7" t="s">
        <v>365</v>
      </c>
      <c r="B70" s="4">
        <v>1</v>
      </c>
    </row>
    <row r="71" spans="1:2" x14ac:dyDescent="0.25">
      <c r="A71" s="7" t="s">
        <v>362</v>
      </c>
      <c r="B71" s="4">
        <v>1</v>
      </c>
    </row>
    <row r="72" spans="1:2" x14ac:dyDescent="0.25">
      <c r="A72" s="7" t="s">
        <v>356</v>
      </c>
      <c r="B72" s="4">
        <v>3</v>
      </c>
    </row>
    <row r="73" spans="1:2" x14ac:dyDescent="0.25">
      <c r="A73" s="7" t="s">
        <v>363</v>
      </c>
      <c r="B73" s="4">
        <v>3</v>
      </c>
    </row>
    <row r="74" spans="1:2" x14ac:dyDescent="0.25">
      <c r="A74" s="6">
        <v>2024</v>
      </c>
      <c r="B74" s="4"/>
    </row>
    <row r="75" spans="1:2" x14ac:dyDescent="0.25">
      <c r="A75" s="7" t="s">
        <v>362</v>
      </c>
      <c r="B75" s="4">
        <v>2</v>
      </c>
    </row>
    <row r="76" spans="1:2" x14ac:dyDescent="0.25">
      <c r="A76" s="7" t="s">
        <v>359</v>
      </c>
      <c r="B76" s="4">
        <v>2</v>
      </c>
    </row>
    <row r="77" spans="1:2" x14ac:dyDescent="0.25">
      <c r="A77" s="7" t="s">
        <v>363</v>
      </c>
      <c r="B77" s="4">
        <v>2</v>
      </c>
    </row>
    <row r="78" spans="1:2" x14ac:dyDescent="0.25">
      <c r="A78" s="7" t="s">
        <v>366</v>
      </c>
      <c r="B78" s="4">
        <v>2</v>
      </c>
    </row>
    <row r="79" spans="1:2" x14ac:dyDescent="0.25">
      <c r="A79" s="7" t="s">
        <v>360</v>
      </c>
      <c r="B79" s="4">
        <v>4</v>
      </c>
    </row>
    <row r="80" spans="1:2" x14ac:dyDescent="0.25">
      <c r="A80" s="7" t="s">
        <v>358</v>
      </c>
      <c r="B80" s="4">
        <v>5</v>
      </c>
    </row>
    <row r="81" spans="1:2" x14ac:dyDescent="0.25">
      <c r="A81" s="7" t="s">
        <v>365</v>
      </c>
      <c r="B81" s="4">
        <v>7</v>
      </c>
    </row>
    <row r="82" spans="1:2" x14ac:dyDescent="0.25">
      <c r="A82" s="7" t="s">
        <v>356</v>
      </c>
      <c r="B82" s="4">
        <v>8</v>
      </c>
    </row>
    <row r="83" spans="1:2" x14ac:dyDescent="0.25">
      <c r="A83" s="7" t="s">
        <v>364</v>
      </c>
      <c r="B83" s="4">
        <v>17</v>
      </c>
    </row>
    <row r="84" spans="1:2" x14ac:dyDescent="0.25">
      <c r="A84" s="6">
        <v>2025</v>
      </c>
      <c r="B84" s="4"/>
    </row>
    <row r="85" spans="1:2" x14ac:dyDescent="0.25">
      <c r="A85" s="7" t="s">
        <v>360</v>
      </c>
      <c r="B85" s="4">
        <v>1</v>
      </c>
    </row>
    <row r="86" spans="1:2" x14ac:dyDescent="0.25">
      <c r="A86" s="7" t="s">
        <v>366</v>
      </c>
      <c r="B86" s="4">
        <v>1</v>
      </c>
    </row>
    <row r="87" spans="1:2" x14ac:dyDescent="0.25">
      <c r="A87" s="7" t="s">
        <v>361</v>
      </c>
      <c r="B87" s="4">
        <v>2</v>
      </c>
    </row>
    <row r="88" spans="1:2" x14ac:dyDescent="0.25">
      <c r="A88" s="7" t="s">
        <v>357</v>
      </c>
      <c r="B88" s="4">
        <v>2</v>
      </c>
    </row>
    <row r="89" spans="1:2" x14ac:dyDescent="0.25">
      <c r="A89" s="7" t="s">
        <v>362</v>
      </c>
      <c r="B89" s="4">
        <v>4</v>
      </c>
    </row>
    <row r="90" spans="1:2" x14ac:dyDescent="0.25">
      <c r="A90" s="7" t="s">
        <v>359</v>
      </c>
      <c r="B90" s="4">
        <v>5</v>
      </c>
    </row>
    <row r="91" spans="1:2" x14ac:dyDescent="0.25">
      <c r="A91" s="7" t="s">
        <v>358</v>
      </c>
      <c r="B91" s="4">
        <v>6</v>
      </c>
    </row>
    <row r="92" spans="1:2" x14ac:dyDescent="0.25">
      <c r="A92" s="7" t="s">
        <v>364</v>
      </c>
      <c r="B92" s="4">
        <v>8</v>
      </c>
    </row>
    <row r="93" spans="1:2" x14ac:dyDescent="0.25">
      <c r="A93" s="7" t="s">
        <v>363</v>
      </c>
      <c r="B93" s="4">
        <v>9</v>
      </c>
    </row>
    <row r="94" spans="1:2" x14ac:dyDescent="0.25">
      <c r="A94" s="7" t="s">
        <v>356</v>
      </c>
      <c r="B94" s="4">
        <v>12</v>
      </c>
    </row>
    <row r="95" spans="1:2" x14ac:dyDescent="0.25">
      <c r="A95" s="7" t="s">
        <v>365</v>
      </c>
      <c r="B95" s="4">
        <v>12</v>
      </c>
    </row>
    <row r="96" spans="1:2" x14ac:dyDescent="0.25">
      <c r="A96" s="6" t="s">
        <v>369</v>
      </c>
      <c r="B96" s="4">
        <v>121</v>
      </c>
    </row>
  </sheetData>
  <sheetProtection algorithmName="SHA-512" hashValue="lFp97cKiMAFarezx296uDhFZJRE5xkfTatDhHcbYg95fCDFAWUymiv2nPc9ktus32+r2bk3kjWE72eMh1GaiCg==" saltValue="kt9il22HALald3FxPtAHzA==" spinCount="100000" sheet="1" objects="1" scenarios="1"/>
  <pageMargins left="0.7" right="0.7" top="0.75" bottom="0.75" header="0.3" footer="0.3"/>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T59"/>
  <sheetViews>
    <sheetView showGridLines="0" tabSelected="1" topLeftCell="A4" zoomScale="78" zoomScaleNormal="78" workbookViewId="0">
      <selection activeCell="U8" sqref="U8"/>
    </sheetView>
  </sheetViews>
  <sheetFormatPr defaultRowHeight="15.75" x14ac:dyDescent="0.25"/>
  <cols>
    <col min="1" max="1" width="10.625" style="9" customWidth="1"/>
    <col min="2" max="2" width="13.125" style="9" customWidth="1"/>
    <col min="3" max="19" width="9" style="9"/>
    <col min="20" max="20" width="4.875" style="9" customWidth="1"/>
    <col min="21" max="16384" width="9" style="9"/>
  </cols>
  <sheetData>
    <row r="1" spans="1:20" ht="15.75" customHeight="1" x14ac:dyDescent="0.25">
      <c r="A1" s="16" t="s">
        <v>373</v>
      </c>
      <c r="B1" s="16"/>
      <c r="C1" s="16"/>
      <c r="D1" s="16"/>
      <c r="E1" s="16"/>
      <c r="F1" s="16"/>
      <c r="G1" s="16"/>
      <c r="H1" s="16"/>
      <c r="I1" s="16"/>
      <c r="J1" s="16"/>
      <c r="K1" s="16"/>
      <c r="L1" s="16"/>
      <c r="M1" s="16"/>
      <c r="N1" s="16"/>
      <c r="O1" s="16"/>
      <c r="P1" s="16"/>
      <c r="Q1" s="16"/>
      <c r="R1" s="16"/>
      <c r="S1" s="16"/>
      <c r="T1" s="16"/>
    </row>
    <row r="2" spans="1:20" ht="15.75" customHeight="1" x14ac:dyDescent="0.25">
      <c r="A2" s="16"/>
      <c r="B2" s="16"/>
      <c r="C2" s="16"/>
      <c r="D2" s="16"/>
      <c r="E2" s="16"/>
      <c r="F2" s="16"/>
      <c r="G2" s="16"/>
      <c r="H2" s="16"/>
      <c r="I2" s="16"/>
      <c r="J2" s="16"/>
      <c r="K2" s="16"/>
      <c r="L2" s="16"/>
      <c r="M2" s="16"/>
      <c r="N2" s="16"/>
      <c r="O2" s="16"/>
      <c r="P2" s="16"/>
      <c r="Q2" s="16"/>
      <c r="R2" s="16"/>
      <c r="S2" s="16"/>
      <c r="T2" s="16"/>
    </row>
    <row r="3" spans="1:20" ht="15.75" customHeight="1" x14ac:dyDescent="0.25">
      <c r="A3" s="16"/>
      <c r="B3" s="16"/>
      <c r="C3" s="16"/>
      <c r="D3" s="16"/>
      <c r="E3" s="16"/>
      <c r="F3" s="16"/>
      <c r="G3" s="16"/>
      <c r="H3" s="16"/>
      <c r="I3" s="16"/>
      <c r="J3" s="16"/>
      <c r="K3" s="16"/>
      <c r="L3" s="16"/>
      <c r="M3" s="16"/>
      <c r="N3" s="16"/>
      <c r="O3" s="16"/>
      <c r="P3" s="16"/>
      <c r="Q3" s="16"/>
      <c r="R3" s="16"/>
      <c r="S3" s="16"/>
      <c r="T3" s="16"/>
    </row>
    <row r="4" spans="1:20" ht="15.75" customHeight="1" x14ac:dyDescent="0.25">
      <c r="A4" s="16"/>
      <c r="B4" s="16"/>
      <c r="C4" s="16"/>
      <c r="D4" s="16"/>
      <c r="E4" s="16"/>
      <c r="F4" s="16"/>
      <c r="G4" s="16"/>
      <c r="H4" s="16"/>
      <c r="I4" s="16"/>
      <c r="J4" s="16"/>
      <c r="K4" s="16"/>
      <c r="L4" s="16"/>
      <c r="M4" s="16"/>
      <c r="N4" s="16"/>
      <c r="O4" s="16"/>
      <c r="P4" s="16"/>
      <c r="Q4" s="16"/>
      <c r="R4" s="16"/>
      <c r="S4" s="16"/>
      <c r="T4" s="16"/>
    </row>
    <row r="5" spans="1:20" ht="15.75" customHeight="1" x14ac:dyDescent="0.25">
      <c r="A5" s="16"/>
      <c r="B5" s="16"/>
      <c r="C5" s="16"/>
      <c r="D5" s="16"/>
      <c r="E5" s="16"/>
      <c r="F5" s="16"/>
      <c r="G5" s="16"/>
      <c r="H5" s="16"/>
      <c r="I5" s="16"/>
      <c r="J5" s="16"/>
      <c r="K5" s="16"/>
      <c r="L5" s="16"/>
      <c r="M5" s="16"/>
      <c r="N5" s="16"/>
      <c r="O5" s="16"/>
      <c r="P5" s="16"/>
      <c r="Q5" s="16"/>
      <c r="R5" s="16"/>
      <c r="S5" s="16"/>
      <c r="T5" s="16"/>
    </row>
    <row r="6" spans="1:20" ht="15.75" customHeight="1" x14ac:dyDescent="0.25">
      <c r="A6" s="16"/>
      <c r="B6" s="16"/>
      <c r="C6" s="16"/>
      <c r="D6" s="16"/>
      <c r="E6" s="16"/>
      <c r="F6" s="16"/>
      <c r="G6" s="16"/>
      <c r="H6" s="16"/>
      <c r="I6" s="16"/>
      <c r="J6" s="16"/>
      <c r="K6" s="16"/>
      <c r="L6" s="16"/>
      <c r="M6" s="16"/>
      <c r="N6" s="16"/>
      <c r="O6" s="16"/>
      <c r="P6" s="16"/>
      <c r="Q6" s="16"/>
      <c r="R6" s="16"/>
      <c r="S6" s="16"/>
      <c r="T6" s="16"/>
    </row>
    <row r="7" spans="1:20" ht="15.75" customHeight="1" x14ac:dyDescent="0.25">
      <c r="A7" s="8"/>
      <c r="B7" s="8"/>
      <c r="C7" s="8"/>
      <c r="D7" s="8"/>
      <c r="E7" s="8"/>
      <c r="F7" s="14" t="s">
        <v>378</v>
      </c>
      <c r="G7" s="13"/>
      <c r="H7" s="13" t="s">
        <v>383</v>
      </c>
      <c r="I7" s="13"/>
      <c r="J7" s="13"/>
      <c r="K7" s="14" t="s">
        <v>379</v>
      </c>
      <c r="L7" s="13"/>
      <c r="M7" s="13" t="s">
        <v>380</v>
      </c>
      <c r="N7" s="8"/>
      <c r="O7" s="13"/>
      <c r="P7" s="13"/>
      <c r="Q7" s="13"/>
      <c r="R7" s="13"/>
      <c r="S7" s="13"/>
      <c r="T7" s="13"/>
    </row>
    <row r="8" spans="1:20" ht="21.75" customHeight="1" x14ac:dyDescent="0.25">
      <c r="A8" s="8"/>
      <c r="B8" s="8"/>
      <c r="C8" s="8"/>
      <c r="D8" s="8"/>
      <c r="E8" s="8"/>
      <c r="F8" s="14" t="s">
        <v>376</v>
      </c>
      <c r="G8" s="13"/>
      <c r="H8" s="13" t="s">
        <v>377</v>
      </c>
      <c r="I8" s="13"/>
      <c r="J8" s="13"/>
      <c r="K8" s="14" t="s">
        <v>381</v>
      </c>
      <c r="L8" s="13"/>
      <c r="M8" s="13" t="s">
        <v>382</v>
      </c>
      <c r="N8" s="8"/>
      <c r="O8" s="13"/>
      <c r="P8" s="13"/>
      <c r="Q8" s="13"/>
      <c r="R8" s="13"/>
      <c r="S8" s="13"/>
      <c r="T8" s="13"/>
    </row>
    <row r="9" spans="1:20" ht="21.75" customHeight="1" x14ac:dyDescent="0.25">
      <c r="A9" s="8"/>
      <c r="B9" s="8"/>
      <c r="C9" s="8"/>
      <c r="D9" s="8"/>
      <c r="E9" s="8"/>
      <c r="F9" s="14"/>
      <c r="G9" s="13"/>
      <c r="H9" s="13"/>
      <c r="I9" s="13"/>
      <c r="J9" s="13"/>
      <c r="K9" s="14"/>
      <c r="L9" s="13"/>
      <c r="M9" s="13"/>
      <c r="N9" s="8"/>
      <c r="O9" s="13"/>
      <c r="P9" s="13"/>
      <c r="Q9" s="13"/>
      <c r="R9" s="13"/>
      <c r="S9" s="13"/>
      <c r="T9" s="13"/>
    </row>
    <row r="10" spans="1:20" x14ac:dyDescent="0.25">
      <c r="A10" s="15" t="s">
        <v>374</v>
      </c>
      <c r="B10" s="15"/>
    </row>
    <row r="26" spans="1:2" x14ac:dyDescent="0.25">
      <c r="A26" s="10"/>
      <c r="B26" s="11"/>
    </row>
    <row r="27" spans="1:2" x14ac:dyDescent="0.25">
      <c r="A27" s="11"/>
      <c r="B27" s="11"/>
    </row>
    <row r="28" spans="1:2" x14ac:dyDescent="0.25">
      <c r="A28" s="11"/>
      <c r="B28" s="11"/>
    </row>
    <row r="29" spans="1:2" x14ac:dyDescent="0.25">
      <c r="A29" s="11"/>
      <c r="B29" s="11"/>
    </row>
    <row r="30" spans="1:2" x14ac:dyDescent="0.25">
      <c r="A30" s="11"/>
      <c r="B30" s="11"/>
    </row>
    <row r="31" spans="1:2" x14ac:dyDescent="0.25">
      <c r="A31" s="12"/>
      <c r="B31" s="11"/>
    </row>
    <row r="32" spans="1:2" ht="15.75" customHeight="1" x14ac:dyDescent="0.25">
      <c r="A32" s="10"/>
      <c r="B32" s="10"/>
    </row>
    <row r="33" spans="1:2" x14ac:dyDescent="0.25">
      <c r="A33" s="10"/>
      <c r="B33" s="10"/>
    </row>
    <row r="34" spans="1:2" x14ac:dyDescent="0.25">
      <c r="A34" s="10"/>
      <c r="B34" s="10"/>
    </row>
    <row r="35" spans="1:2" x14ac:dyDescent="0.25">
      <c r="A35" s="10"/>
      <c r="B35" s="10"/>
    </row>
    <row r="36" spans="1:2" x14ac:dyDescent="0.25">
      <c r="A36" s="10"/>
      <c r="B36" s="10"/>
    </row>
    <row r="37" spans="1:2" x14ac:dyDescent="0.25">
      <c r="A37" s="10"/>
      <c r="B37" s="10"/>
    </row>
    <row r="38" spans="1:2" x14ac:dyDescent="0.25">
      <c r="A38" s="10"/>
      <c r="B38" s="10"/>
    </row>
    <row r="39" spans="1:2" x14ac:dyDescent="0.25">
      <c r="A39" s="10"/>
      <c r="B39" s="10"/>
    </row>
    <row r="40" spans="1:2" x14ac:dyDescent="0.25">
      <c r="A40" s="10"/>
      <c r="B40" s="10"/>
    </row>
    <row r="41" spans="1:2" x14ac:dyDescent="0.25">
      <c r="A41" s="10"/>
      <c r="B41" s="10"/>
    </row>
    <row r="42" spans="1:2" x14ac:dyDescent="0.25">
      <c r="A42" s="10"/>
      <c r="B42" s="10"/>
    </row>
    <row r="43" spans="1:2" x14ac:dyDescent="0.25">
      <c r="A43" s="11"/>
      <c r="B43" s="10"/>
    </row>
    <row r="44" spans="1:2" x14ac:dyDescent="0.25">
      <c r="A44" s="10"/>
      <c r="B44" s="10"/>
    </row>
    <row r="45" spans="1:2" x14ac:dyDescent="0.25">
      <c r="A45" s="10"/>
      <c r="B45" s="10"/>
    </row>
    <row r="46" spans="1:2" x14ac:dyDescent="0.25">
      <c r="A46" s="10"/>
      <c r="B46" s="10"/>
    </row>
    <row r="47" spans="1:2" x14ac:dyDescent="0.25">
      <c r="A47" s="10"/>
      <c r="B47" s="10"/>
    </row>
    <row r="48" spans="1:2" x14ac:dyDescent="0.25">
      <c r="A48" s="10"/>
      <c r="B48" s="10"/>
    </row>
    <row r="49" spans="1:2" x14ac:dyDescent="0.25">
      <c r="A49" s="10"/>
      <c r="B49" s="10"/>
    </row>
    <row r="50" spans="1:2" x14ac:dyDescent="0.25">
      <c r="A50" s="10"/>
      <c r="B50" s="10"/>
    </row>
    <row r="51" spans="1:2" x14ac:dyDescent="0.25">
      <c r="A51" s="10"/>
      <c r="B51" s="10"/>
    </row>
    <row r="52" spans="1:2" x14ac:dyDescent="0.25">
      <c r="A52" s="11"/>
      <c r="B52" s="11"/>
    </row>
    <row r="53" spans="1:2" x14ac:dyDescent="0.25">
      <c r="A53" s="11"/>
      <c r="B53" s="11"/>
    </row>
    <row r="54" spans="1:2" x14ac:dyDescent="0.25">
      <c r="A54" s="11"/>
      <c r="B54" s="11"/>
    </row>
    <row r="55" spans="1:2" x14ac:dyDescent="0.25">
      <c r="A55" s="11"/>
      <c r="B55" s="11"/>
    </row>
    <row r="56" spans="1:2" x14ac:dyDescent="0.25">
      <c r="A56" s="11"/>
      <c r="B56" s="11"/>
    </row>
    <row r="57" spans="1:2" x14ac:dyDescent="0.25">
      <c r="A57" s="11"/>
      <c r="B57" s="11"/>
    </row>
    <row r="58" spans="1:2" x14ac:dyDescent="0.25">
      <c r="A58" s="11"/>
      <c r="B58" s="11"/>
    </row>
    <row r="59" spans="1:2" x14ac:dyDescent="0.25">
      <c r="A59" s="11"/>
      <c r="B59" s="11"/>
    </row>
  </sheetData>
  <mergeCells count="2">
    <mergeCell ref="A10:B10"/>
    <mergeCell ref="A1:T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vt:lpstr>
      <vt:lpstr>checks</vt:lpstr>
      <vt:lpstr>cleaning</vt:lpstr>
      <vt:lpstr>cleaned</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Scarlet Feline</dc:creator>
  <cp:lastModifiedBy>Zelvy Fauzan</cp:lastModifiedBy>
  <dcterms:created xsi:type="dcterms:W3CDTF">2025-12-25T06:47:14Z</dcterms:created>
  <dcterms:modified xsi:type="dcterms:W3CDTF">2026-01-01T12:51:31Z</dcterms:modified>
</cp:coreProperties>
</file>